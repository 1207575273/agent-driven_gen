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Codex project\1月~6月产能分析\"/>
    </mc:Choice>
  </mc:AlternateContent>
  <xr:revisionPtr revIDLastSave="0" documentId="13_ncr:1_{3C4502FA-DAC3-4E13-B2ED-E29D703C13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完整花名册" sheetId="1" r:id="rId1"/>
  </sheets>
  <externalReferences>
    <externalReference r:id="rId2"/>
  </externalReferences>
  <definedNames>
    <definedName name="_xlnm._FilterDatabase" localSheetId="0" hidden="1">完整花名册!$A$1:$U$195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86" i="1" l="1"/>
  <c r="W184" i="1"/>
  <c r="W183" i="1"/>
  <c r="W181" i="1"/>
  <c r="W179" i="1"/>
  <c r="W176" i="1"/>
  <c r="W172" i="1"/>
  <c r="W168" i="1"/>
  <c r="W166" i="1"/>
  <c r="W165" i="1"/>
  <c r="W164" i="1"/>
  <c r="W162" i="1"/>
  <c r="W161" i="1"/>
  <c r="W156" i="1"/>
  <c r="W154" i="1"/>
  <c r="W148" i="1"/>
  <c r="W144" i="1"/>
  <c r="W142" i="1"/>
  <c r="W138" i="1"/>
  <c r="W137" i="1"/>
  <c r="W135" i="1"/>
  <c r="W133" i="1"/>
  <c r="W131" i="1"/>
  <c r="W130" i="1"/>
  <c r="W129" i="1"/>
  <c r="W125" i="1"/>
  <c r="W124" i="1"/>
  <c r="W120" i="1"/>
  <c r="W118" i="1"/>
  <c r="W117" i="1"/>
  <c r="W116" i="1"/>
  <c r="W104" i="1"/>
  <c r="W103" i="1"/>
  <c r="W99" i="1"/>
  <c r="W96" i="1"/>
  <c r="W95" i="1"/>
  <c r="W94" i="1"/>
  <c r="W93" i="1"/>
  <c r="W92" i="1"/>
  <c r="W90" i="1"/>
  <c r="W88" i="1"/>
  <c r="W82" i="1"/>
  <c r="W81" i="1"/>
  <c r="W77" i="1"/>
  <c r="W75" i="1"/>
  <c r="W72" i="1"/>
  <c r="W69" i="1"/>
  <c r="W68" i="1"/>
  <c r="W64" i="1"/>
  <c r="W61" i="1"/>
  <c r="W57" i="1"/>
  <c r="W53" i="1"/>
  <c r="W52" i="1"/>
  <c r="W49" i="1"/>
  <c r="W48" i="1"/>
  <c r="W38" i="1"/>
  <c r="W37" i="1"/>
  <c r="W32" i="1"/>
  <c r="W30" i="1"/>
  <c r="W29" i="1"/>
  <c r="W28" i="1"/>
  <c r="W27" i="1"/>
  <c r="W26" i="1"/>
  <c r="W25" i="1"/>
  <c r="W24" i="1"/>
  <c r="W22" i="1"/>
  <c r="W21" i="1"/>
  <c r="W16" i="1"/>
  <c r="W14" i="1"/>
  <c r="W13" i="1"/>
  <c r="W11" i="1"/>
  <c r="W8" i="1"/>
  <c r="W2" i="1"/>
  <c r="V186" i="1"/>
  <c r="V184" i="1"/>
  <c r="V183" i="1"/>
  <c r="V181" i="1"/>
  <c r="V179" i="1"/>
  <c r="V176" i="1"/>
  <c r="V172" i="1"/>
  <c r="V168" i="1"/>
  <c r="V166" i="1"/>
  <c r="V165" i="1"/>
  <c r="V164" i="1"/>
  <c r="V162" i="1"/>
  <c r="V161" i="1"/>
  <c r="V156" i="1"/>
  <c r="V154" i="1"/>
  <c r="V148" i="1"/>
  <c r="V144" i="1"/>
  <c r="V142" i="1"/>
  <c r="V138" i="1"/>
  <c r="V137" i="1"/>
  <c r="V135" i="1"/>
  <c r="V133" i="1"/>
  <c r="V131" i="1"/>
  <c r="V130" i="1"/>
  <c r="V129" i="1"/>
  <c r="V125" i="1"/>
  <c r="V124" i="1"/>
  <c r="V120" i="1"/>
  <c r="V118" i="1"/>
  <c r="V117" i="1"/>
  <c r="V116" i="1"/>
  <c r="V104" i="1"/>
  <c r="V103" i="1"/>
  <c r="V99" i="1"/>
  <c r="V96" i="1"/>
  <c r="V95" i="1"/>
  <c r="V94" i="1"/>
  <c r="V93" i="1"/>
  <c r="V92" i="1"/>
  <c r="V90" i="1"/>
  <c r="V88" i="1"/>
  <c r="V82" i="1"/>
  <c r="V81" i="1"/>
  <c r="V77" i="1"/>
  <c r="V75" i="1"/>
  <c r="V72" i="1"/>
  <c r="V69" i="1"/>
  <c r="V68" i="1"/>
  <c r="V64" i="1"/>
  <c r="V61" i="1"/>
  <c r="V57" i="1"/>
  <c r="V53" i="1"/>
  <c r="V52" i="1"/>
  <c r="V49" i="1"/>
  <c r="V48" i="1"/>
  <c r="V38" i="1"/>
  <c r="V37" i="1"/>
  <c r="V32" i="1"/>
  <c r="V30" i="1"/>
  <c r="V29" i="1"/>
  <c r="V28" i="1"/>
  <c r="V27" i="1"/>
  <c r="V26" i="1"/>
  <c r="V25" i="1"/>
  <c r="V24" i="1"/>
  <c r="V22" i="1"/>
  <c r="V21" i="1"/>
  <c r="V16" i="1"/>
  <c r="V14" i="1"/>
  <c r="V13" i="1"/>
  <c r="V11" i="1"/>
  <c r="V8" i="1"/>
  <c r="V2" i="1"/>
</calcChain>
</file>

<file path=xl/sharedStrings.xml><?xml version="1.0" encoding="utf-8"?>
<sst xmlns="http://schemas.openxmlformats.org/spreadsheetml/2006/main" count="2245" uniqueCount="545">
  <si>
    <t>姓名</t>
  </si>
  <si>
    <t>工号</t>
  </si>
  <si>
    <t>岗位</t>
  </si>
  <si>
    <t>一级部门</t>
  </si>
  <si>
    <t>二级部门</t>
  </si>
  <si>
    <t>三级部门</t>
  </si>
  <si>
    <t>四级部门</t>
  </si>
  <si>
    <t>实际投入小组</t>
  </si>
  <si>
    <t>角色</t>
  </si>
  <si>
    <t>计划投入项目1</t>
  </si>
  <si>
    <t>计划投入项目2</t>
  </si>
  <si>
    <t>计划投入项目3</t>
  </si>
  <si>
    <t>计划投入项目4</t>
  </si>
  <si>
    <t>计划投入项目5</t>
  </si>
  <si>
    <t>备注</t>
  </si>
  <si>
    <t>员工类型</t>
  </si>
  <si>
    <t>员工状态</t>
  </si>
  <si>
    <t>岗位类型</t>
  </si>
  <si>
    <t>入职日期</t>
  </si>
  <si>
    <t>离职日期</t>
  </si>
  <si>
    <t>工时填报说明</t>
  </si>
  <si>
    <t>严冰</t>
  </si>
  <si>
    <t>产品运营实习生</t>
  </si>
  <si>
    <t>产品研发中心</t>
  </si>
  <si>
    <t>产研办公室</t>
  </si>
  <si>
    <t>其他</t>
  </si>
  <si>
    <t>离职</t>
  </si>
  <si>
    <t>2026-03-12</t>
  </si>
  <si>
    <t>2026-06-26</t>
  </si>
  <si>
    <t>严明镜</t>
  </si>
  <si>
    <t>开发经理</t>
  </si>
  <si>
    <t>流造产品部</t>
  </si>
  <si>
    <t>凌造研发组</t>
  </si>
  <si>
    <t>凌造研发组-aiCoding</t>
  </si>
  <si>
    <t>开发-后端</t>
  </si>
  <si>
    <t>502 AiCoding第二期</t>
  </si>
  <si>
    <t>支持蓝军Aicoding专项</t>
  </si>
  <si>
    <t>在岗在编</t>
  </si>
  <si>
    <t>正式</t>
  </si>
  <si>
    <t>2016-03-16</t>
  </si>
  <si>
    <t>严海星</t>
  </si>
  <si>
    <t>资深开发工程师</t>
  </si>
  <si>
    <t>凌脑创新部</t>
  </si>
  <si>
    <t>凌脑研发组</t>
  </si>
  <si>
    <t>凌脑研发组-知识中台</t>
  </si>
  <si>
    <t>301组(搜问做&amp;知识治理)26年创新项目二期</t>
  </si>
  <si>
    <t>2018-09-04</t>
  </si>
  <si>
    <t>付文松</t>
  </si>
  <si>
    <t>智能体研发组</t>
  </si>
  <si>
    <t>开发-前端</t>
  </si>
  <si>
    <t>503组(智能体平台)26年创新项目二期</t>
  </si>
  <si>
    <t>2021-03-22</t>
  </si>
  <si>
    <t>代家宽</t>
  </si>
  <si>
    <t>境知产品部</t>
  </si>
  <si>
    <t>凌知研发组</t>
  </si>
  <si>
    <t>202组(aiKM)26年创新项目一期</t>
  </si>
  <si>
    <t>2016-09-06</t>
  </si>
  <si>
    <t>任和珍</t>
  </si>
  <si>
    <t>产品经理</t>
  </si>
  <si>
    <t>流造产品规划组</t>
  </si>
  <si>
    <t>产品</t>
  </si>
  <si>
    <t>2019-05-05</t>
  </si>
  <si>
    <t>伍跳</t>
  </si>
  <si>
    <t>中心外包</t>
  </si>
  <si>
    <t>外包</t>
  </si>
  <si>
    <t>制度管理空间专项</t>
  </si>
  <si>
    <t>外包;工时系统别名:伍跳_sz</t>
  </si>
  <si>
    <t>在场</t>
  </si>
  <si>
    <t>2026-06-17</t>
  </si>
  <si>
    <t>余亮</t>
  </si>
  <si>
    <t>高级开发工程师</t>
  </si>
  <si>
    <t>2019-04-08</t>
  </si>
  <si>
    <t>余家安</t>
  </si>
  <si>
    <t>凌流研发组</t>
  </si>
  <si>
    <t>0721迭代-快服务</t>
  </si>
  <si>
    <t>0721迭代-快交付</t>
  </si>
  <si>
    <t>0721迭代-快营销</t>
  </si>
  <si>
    <t>0721迭代-其他</t>
  </si>
  <si>
    <t>401组(aiBPM)26年创新项目一期</t>
  </si>
  <si>
    <t>2020-12-01</t>
  </si>
  <si>
    <t>余小冬</t>
  </si>
  <si>
    <t>高级测试工程师</t>
  </si>
  <si>
    <t>研发治理部</t>
  </si>
  <si>
    <t>测试部</t>
  </si>
  <si>
    <t>测试一组</t>
  </si>
  <si>
    <t>测试</t>
  </si>
  <si>
    <t>2016-11-21</t>
  </si>
  <si>
    <t>侯晓博</t>
  </si>
  <si>
    <t>资深前端开发工程师</t>
  </si>
  <si>
    <t>凌脑研发组-DI</t>
  </si>
  <si>
    <t>302组(数据服务组件)26年创新项目二期</t>
  </si>
  <si>
    <t>2020-03-12</t>
  </si>
  <si>
    <t>侯浩川</t>
  </si>
  <si>
    <t>2026-01-13</t>
  </si>
  <si>
    <t>2026-03-31</t>
  </si>
  <si>
    <t>冯锦秋</t>
  </si>
  <si>
    <t>外包;工时系统别名:冯锦秋_sz</t>
  </si>
  <si>
    <t>2026-05-11</t>
  </si>
  <si>
    <t>凌通</t>
  </si>
  <si>
    <t>高级前端开发工程师</t>
  </si>
  <si>
    <t>凌造研发组-3块</t>
  </si>
  <si>
    <t>2023-02-27</t>
  </si>
  <si>
    <t>刘向华</t>
  </si>
  <si>
    <t>八爪鱼</t>
  </si>
  <si>
    <t>2018-10-26</t>
  </si>
  <si>
    <t>勉填</t>
  </si>
  <si>
    <t>刘娜</t>
  </si>
  <si>
    <t>高级Java开发工程师</t>
  </si>
  <si>
    <t>应用产品部</t>
  </si>
  <si>
    <t>ISV＆集成研发组</t>
  </si>
  <si>
    <t>数据迁移二期</t>
  </si>
  <si>
    <t>2021-09-17</t>
  </si>
  <si>
    <t>刘宏羽</t>
  </si>
  <si>
    <t>前端开发工程师</t>
  </si>
  <si>
    <t>2020-03-17</t>
  </si>
  <si>
    <t>刘庞</t>
  </si>
  <si>
    <t>2019-07-01</t>
  </si>
  <si>
    <t>刘振</t>
  </si>
  <si>
    <t>凌境研发组</t>
  </si>
  <si>
    <t>凌境研发组-KK</t>
  </si>
  <si>
    <t>开发-KK</t>
  </si>
  <si>
    <t>203组(APP端)26年创新项目二期</t>
  </si>
  <si>
    <t>2020-07-14</t>
  </si>
  <si>
    <t>刘景祺</t>
  </si>
  <si>
    <t>实习</t>
  </si>
  <si>
    <t>2026-07-13</t>
  </si>
  <si>
    <t>刘智</t>
  </si>
  <si>
    <t>2009-04-27</t>
  </si>
  <si>
    <t>刘水明</t>
  </si>
  <si>
    <t>OA产品研发组</t>
  </si>
  <si>
    <t>2021-06-21</t>
  </si>
  <si>
    <t>刘水生</t>
  </si>
  <si>
    <t>2026-03-25</t>
  </si>
  <si>
    <t>刘浩鹏</t>
  </si>
  <si>
    <t>外包;工时系统别名:刘浩鹏_sz</t>
  </si>
  <si>
    <t>2026-04-28</t>
  </si>
  <si>
    <t>刘继想</t>
  </si>
  <si>
    <t>2018-07-02</t>
  </si>
  <si>
    <t>2026-03-20</t>
  </si>
  <si>
    <t>刘芬</t>
  </si>
  <si>
    <t>测试二组</t>
  </si>
  <si>
    <t>2020-07-16</t>
  </si>
  <si>
    <t>刘萍</t>
  </si>
  <si>
    <t>高级运营经理</t>
  </si>
  <si>
    <t>2021-01-11</t>
  </si>
  <si>
    <t>刘银</t>
  </si>
  <si>
    <t>2021-05-24</t>
  </si>
  <si>
    <t>利妙凤</t>
  </si>
  <si>
    <t>卢海强</t>
  </si>
  <si>
    <t>2022-06-08</t>
  </si>
  <si>
    <t>叶中奇</t>
  </si>
  <si>
    <t>2001-04-01</t>
  </si>
  <si>
    <t>叶冠华</t>
  </si>
  <si>
    <t>高级产品运营专员</t>
  </si>
  <si>
    <t>客户成功支持组</t>
  </si>
  <si>
    <t>2022-04-08</t>
  </si>
  <si>
    <t>叶正平</t>
  </si>
  <si>
    <t>2017-10-20</t>
  </si>
  <si>
    <t>吴世佳</t>
  </si>
  <si>
    <t>高级产品经理</t>
  </si>
  <si>
    <t>应用产品规划组</t>
  </si>
  <si>
    <t>2022-05-30</t>
  </si>
  <si>
    <t>吴婉琳</t>
  </si>
  <si>
    <t>部门经理</t>
  </si>
  <si>
    <t>2013-07-02</t>
  </si>
  <si>
    <t>吴彬</t>
  </si>
  <si>
    <t>效能提升组</t>
  </si>
  <si>
    <t>2021-04-15</t>
  </si>
  <si>
    <t>吴良喜</t>
  </si>
  <si>
    <t>配置管理组</t>
  </si>
  <si>
    <t>2009-07-27</t>
  </si>
  <si>
    <t>周勉</t>
  </si>
  <si>
    <t>凌境研发组-空间</t>
  </si>
  <si>
    <t>201组(aiSpace)26年创新项目二期</t>
  </si>
  <si>
    <t>2020-03-26</t>
  </si>
  <si>
    <t>周才伟</t>
  </si>
  <si>
    <t>高级UI设计师</t>
  </si>
  <si>
    <t>产品体验组</t>
  </si>
  <si>
    <t>UED</t>
  </si>
  <si>
    <t>周昱岑</t>
  </si>
  <si>
    <t>智能体搭建实习生</t>
  </si>
  <si>
    <t>2026-04-07</t>
  </si>
  <si>
    <t>2026-06-30</t>
  </si>
  <si>
    <t>周梓凡</t>
  </si>
  <si>
    <t>架构师</t>
  </si>
  <si>
    <t>2013-07-10</t>
  </si>
  <si>
    <t>唐小玉</t>
  </si>
  <si>
    <t>交互设计经理</t>
  </si>
  <si>
    <t>2016-06-01</t>
  </si>
  <si>
    <t>唐有炜</t>
  </si>
  <si>
    <t>2019-07-29</t>
  </si>
  <si>
    <t>唐程润</t>
  </si>
  <si>
    <t>2020-11-17</t>
  </si>
  <si>
    <t>姚宇</t>
  </si>
  <si>
    <t>开发总监</t>
  </si>
  <si>
    <t>2020-12-02</t>
  </si>
  <si>
    <t>孙丝语</t>
  </si>
  <si>
    <t>2020-05-11</t>
  </si>
  <si>
    <t>孙远木</t>
  </si>
  <si>
    <t>测试主管</t>
  </si>
  <si>
    <t>1</t>
  </si>
  <si>
    <t>2013-04-01</t>
  </si>
  <si>
    <t>孟雪峰</t>
  </si>
  <si>
    <t>配置管理专家</t>
  </si>
  <si>
    <t>2016-06-20</t>
  </si>
  <si>
    <t>官晓林</t>
  </si>
  <si>
    <t>运维专家</t>
  </si>
  <si>
    <t>封海石</t>
  </si>
  <si>
    <t>2016-06-12</t>
  </si>
  <si>
    <t>屈高鹏</t>
  </si>
  <si>
    <t>2018-02-05</t>
  </si>
  <si>
    <t>崔胜兰</t>
  </si>
  <si>
    <t>软件测试实习生</t>
  </si>
  <si>
    <t>2026-06-08</t>
  </si>
  <si>
    <t>帅胜余</t>
  </si>
  <si>
    <t>部门副经理</t>
  </si>
  <si>
    <t>2020-09-15</t>
  </si>
  <si>
    <t>廖嘉琪</t>
  </si>
  <si>
    <t>助理产品经理</t>
  </si>
  <si>
    <t>2025-07-01</t>
  </si>
  <si>
    <t>廖星</t>
  </si>
  <si>
    <t>2024-10-16</t>
  </si>
  <si>
    <t>张小雪</t>
  </si>
  <si>
    <t>2019-11-04</t>
  </si>
  <si>
    <t>张岩</t>
  </si>
  <si>
    <t>2012-05-21</t>
  </si>
  <si>
    <t>张建忠</t>
  </si>
  <si>
    <t>2017-03-03</t>
  </si>
  <si>
    <t>张志江</t>
  </si>
  <si>
    <t>2021-07-22</t>
  </si>
  <si>
    <t>张慧珍</t>
  </si>
  <si>
    <t>资深测试工程师</t>
  </si>
  <si>
    <t>2022-03-07</t>
  </si>
  <si>
    <t>张晓甜</t>
  </si>
  <si>
    <t>2020-08-10</t>
  </si>
  <si>
    <t>张艳</t>
  </si>
  <si>
    <t>境知产品规划组</t>
  </si>
  <si>
    <t>2019-02-25</t>
  </si>
  <si>
    <t>张艳萍</t>
  </si>
  <si>
    <t>测试工程师</t>
  </si>
  <si>
    <t>2024-07-10</t>
  </si>
  <si>
    <t>张越良</t>
  </si>
  <si>
    <t>2019-03-18</t>
  </si>
  <si>
    <t>张锐</t>
  </si>
  <si>
    <t>2019-05-06</t>
  </si>
  <si>
    <t>张颖</t>
  </si>
  <si>
    <t>2021-05-06</t>
  </si>
  <si>
    <t>彭冯</t>
  </si>
  <si>
    <t>用户运营组</t>
  </si>
  <si>
    <t>2025-09-05</t>
  </si>
  <si>
    <t>2026-02-12</t>
  </si>
  <si>
    <t>彭雷</t>
  </si>
  <si>
    <t>外包;特殊原因无需填报</t>
  </si>
  <si>
    <t>徐伟雄</t>
  </si>
  <si>
    <t>开发专家</t>
  </si>
  <si>
    <t>技术架构部</t>
  </si>
  <si>
    <t>试用期</t>
  </si>
  <si>
    <t>2026-03-16</t>
  </si>
  <si>
    <t>徐文辉</t>
  </si>
  <si>
    <t>2020-07-01</t>
  </si>
  <si>
    <t>徐颖</t>
  </si>
  <si>
    <t>2026-06-23</t>
  </si>
  <si>
    <t>方楠</t>
  </si>
  <si>
    <t>AI全栈架构师</t>
  </si>
  <si>
    <t>101创新组</t>
  </si>
  <si>
    <t>开发-AI</t>
  </si>
  <si>
    <t>2026-04-27</t>
  </si>
  <si>
    <t>施东荣</t>
  </si>
  <si>
    <t>易荣烽</t>
  </si>
  <si>
    <t>2006-06-26</t>
  </si>
  <si>
    <t>曹映辉</t>
  </si>
  <si>
    <t>2011-04-20</t>
  </si>
  <si>
    <t>曾小兵</t>
  </si>
  <si>
    <t>2015-05-25</t>
  </si>
  <si>
    <t>朱朋祥</t>
  </si>
  <si>
    <t>2022-06-27</t>
  </si>
  <si>
    <t>李俊</t>
  </si>
  <si>
    <t>李博宇</t>
  </si>
  <si>
    <t>2022-04-15</t>
  </si>
  <si>
    <t>李嘉祥</t>
  </si>
  <si>
    <t>工时系统别名:李嘉祥_sz；原正式员工2016-08-08入职，2026-03-31离职后转外包</t>
  </si>
  <si>
    <t>2016-08-08</t>
  </si>
  <si>
    <t>李夏昕</t>
  </si>
  <si>
    <t>HRBP实习生</t>
  </si>
  <si>
    <t>无需填报</t>
  </si>
  <si>
    <t>2026-03-18</t>
  </si>
  <si>
    <t>李尚志</t>
  </si>
  <si>
    <t>李志强</t>
  </si>
  <si>
    <t>大数据架构师</t>
  </si>
  <si>
    <t>2025-12-26</t>
  </si>
  <si>
    <t>李昂</t>
  </si>
  <si>
    <t>前端架构师</t>
  </si>
  <si>
    <t>2023-04-07</t>
  </si>
  <si>
    <t>李海瑞</t>
  </si>
  <si>
    <t>资深产品经理</t>
  </si>
  <si>
    <t>2021-05-26</t>
  </si>
  <si>
    <t>李炜健</t>
  </si>
  <si>
    <t>高级交互设计师</t>
  </si>
  <si>
    <t>2021-06-07</t>
  </si>
  <si>
    <t>李琦</t>
  </si>
  <si>
    <t>2021-07-19</t>
  </si>
  <si>
    <t>李继维</t>
  </si>
  <si>
    <t>技术总监</t>
  </si>
  <si>
    <t>2025-08-13</t>
  </si>
  <si>
    <t>异常未填</t>
  </si>
  <si>
    <t>李艺</t>
  </si>
  <si>
    <t>李芳敏</t>
  </si>
  <si>
    <t>资深Java开发工程师</t>
  </si>
  <si>
    <t>李衡</t>
  </si>
  <si>
    <t>2007-07-30</t>
  </si>
  <si>
    <t>李雪辉</t>
  </si>
  <si>
    <t>杨太双</t>
  </si>
  <si>
    <t>设计</t>
  </si>
  <si>
    <t>2019-12-09</t>
  </si>
  <si>
    <t>2026-03-13</t>
  </si>
  <si>
    <t>杨建宏</t>
  </si>
  <si>
    <t>高级需求分析师</t>
  </si>
  <si>
    <t>三快支持组</t>
  </si>
  <si>
    <t>2005-07-11</t>
  </si>
  <si>
    <t>杨泽昊</t>
  </si>
  <si>
    <t>2026-01-26</t>
  </si>
  <si>
    <t>2026-02-14</t>
  </si>
  <si>
    <t>杨胜</t>
  </si>
  <si>
    <t>2026-04-29</t>
  </si>
  <si>
    <t>杨铮</t>
  </si>
  <si>
    <t>2018-09-05</t>
  </si>
  <si>
    <t>林勤耀</t>
  </si>
  <si>
    <t>2022-07-01</t>
  </si>
  <si>
    <t>林彬彬</t>
  </si>
  <si>
    <t>2015-07-01</t>
  </si>
  <si>
    <t>林秀贤</t>
  </si>
  <si>
    <t>2014-07-07</t>
  </si>
  <si>
    <t>梁明达</t>
  </si>
  <si>
    <t>2022-05-09</t>
  </si>
  <si>
    <t>梁梓轩</t>
  </si>
  <si>
    <t>2023-11-29</t>
  </si>
  <si>
    <t>梁添豪</t>
  </si>
  <si>
    <t>2026-03-09</t>
  </si>
  <si>
    <t>2026-04-03</t>
  </si>
  <si>
    <t>欧宇</t>
  </si>
  <si>
    <t>2019-04-01</t>
  </si>
  <si>
    <t>汪亮</t>
  </si>
  <si>
    <t>701组(EKP17)26年创新项目一期</t>
  </si>
  <si>
    <t>2020-11-30</t>
  </si>
  <si>
    <t>洪健</t>
  </si>
  <si>
    <t>2019-03-14</t>
  </si>
  <si>
    <t>洪泽铨</t>
  </si>
  <si>
    <t>2011-07-04</t>
  </si>
  <si>
    <t>潘在昌</t>
  </si>
  <si>
    <t>潘永辉</t>
  </si>
  <si>
    <t>2015-08-03</t>
  </si>
  <si>
    <t>潘浩丹</t>
  </si>
  <si>
    <t>UI设计经理</t>
  </si>
  <si>
    <t>潘珏</t>
  </si>
  <si>
    <t>凌脑产品规划组</t>
  </si>
  <si>
    <t>2025-01-13</t>
  </si>
  <si>
    <t>潘钜</t>
  </si>
  <si>
    <t>java开发工程师</t>
  </si>
  <si>
    <t>2024-04-02</t>
  </si>
  <si>
    <t>熊金华</t>
  </si>
  <si>
    <t>2024-04-01</t>
  </si>
  <si>
    <t>王丽永</t>
  </si>
  <si>
    <t>2021-03-29</t>
  </si>
  <si>
    <t>王亚翔</t>
  </si>
  <si>
    <t>2018-08-28</t>
  </si>
  <si>
    <t>王亮</t>
  </si>
  <si>
    <t>测试经理</t>
  </si>
  <si>
    <t>自动化专项</t>
  </si>
  <si>
    <t>2011-04-11</t>
  </si>
  <si>
    <t>王付国</t>
  </si>
  <si>
    <t>免填</t>
  </si>
  <si>
    <t>2015-03-01</t>
  </si>
  <si>
    <t>王兵</t>
  </si>
  <si>
    <t>2012-06-18</t>
  </si>
  <si>
    <t>王婕玫</t>
  </si>
  <si>
    <t>2026-05-06</t>
  </si>
  <si>
    <t>2026-05-14</t>
  </si>
  <si>
    <t>王彪</t>
  </si>
  <si>
    <t>2022-08-24</t>
  </si>
  <si>
    <t>王路平</t>
  </si>
  <si>
    <t>开发工程师</t>
  </si>
  <si>
    <t>2024-12-30</t>
  </si>
  <si>
    <t>王逍</t>
  </si>
  <si>
    <t>2017-07-01</t>
  </si>
  <si>
    <t>王鼎</t>
  </si>
  <si>
    <t>外包;工时系统别名:王鼎_sz</t>
  </si>
  <si>
    <t>申张豪</t>
  </si>
  <si>
    <t>2025-12-17</t>
  </si>
  <si>
    <t>程继军</t>
  </si>
  <si>
    <t>2014-06-09</t>
  </si>
  <si>
    <t>程默</t>
  </si>
  <si>
    <t>2022-07-11</t>
  </si>
  <si>
    <t>童张玉</t>
  </si>
  <si>
    <t>2019-09-05</t>
  </si>
  <si>
    <t>管思雅</t>
  </si>
  <si>
    <t>罗永艺</t>
  </si>
  <si>
    <t>2021-05-20</t>
  </si>
  <si>
    <t>肖胜文</t>
  </si>
  <si>
    <t>外包;工时系统别名:肖胜文_sz</t>
  </si>
  <si>
    <t>胡真毓</t>
  </si>
  <si>
    <t>2025-07-14</t>
  </si>
  <si>
    <t>苏伊潼</t>
  </si>
  <si>
    <t>预入场</t>
  </si>
  <si>
    <t>2026-07-15</t>
  </si>
  <si>
    <t>范月明</t>
  </si>
  <si>
    <t>资深产品运营</t>
  </si>
  <si>
    <t>2013-07-03</t>
  </si>
  <si>
    <t>葛志聪</t>
  </si>
  <si>
    <t>外包;工时系统别名:葛志聪_SZ</t>
  </si>
  <si>
    <t>蒋业旺</t>
  </si>
  <si>
    <t>二次开发工程师</t>
  </si>
  <si>
    <t>蒋毛生</t>
  </si>
  <si>
    <t>2020-06-22</t>
  </si>
  <si>
    <t>蔡俊</t>
  </si>
  <si>
    <t>高级配置工程师</t>
  </si>
  <si>
    <t>2006-08-02</t>
  </si>
  <si>
    <t>蔡海练</t>
  </si>
  <si>
    <t>袁汉祥</t>
  </si>
  <si>
    <t>2018-05-21</t>
  </si>
  <si>
    <t>许远周</t>
  </si>
  <si>
    <t>2019-03-07</t>
  </si>
  <si>
    <t>谢宇冶</t>
  </si>
  <si>
    <t>2018-09-14</t>
  </si>
  <si>
    <t>谢幸</t>
  </si>
  <si>
    <t>海外事业部</t>
  </si>
  <si>
    <t>2025年从产研转海外</t>
  </si>
  <si>
    <t>调出</t>
  </si>
  <si>
    <t>2012-06-25</t>
  </si>
  <si>
    <t>2026-02-01</t>
  </si>
  <si>
    <t>谢微</t>
  </si>
  <si>
    <t>2006-07-01</t>
  </si>
  <si>
    <t>2026-03-24</t>
  </si>
  <si>
    <t>谢星星</t>
  </si>
  <si>
    <t>2013-07-01</t>
  </si>
  <si>
    <t>谢科明</t>
  </si>
  <si>
    <t>2013-06-03</t>
  </si>
  <si>
    <t>谭昌香</t>
  </si>
  <si>
    <t>2019-02-21</t>
  </si>
  <si>
    <t>谯云峰</t>
  </si>
  <si>
    <t>贺双</t>
  </si>
  <si>
    <t>2019-12-23</t>
  </si>
  <si>
    <t>赖嘉怡</t>
  </si>
  <si>
    <t>赵荧莹</t>
  </si>
  <si>
    <t>2021-01-21</t>
  </si>
  <si>
    <t>邓春喜</t>
  </si>
  <si>
    <t>部门主管</t>
  </si>
  <si>
    <t>2019-01-02</t>
  </si>
  <si>
    <t>邱淏辰</t>
  </si>
  <si>
    <t>2026-04-20</t>
  </si>
  <si>
    <t>2026-06-18</t>
  </si>
  <si>
    <t>郑伯宇</t>
  </si>
  <si>
    <t>2019-10-28</t>
  </si>
  <si>
    <t>郑操辉</t>
  </si>
  <si>
    <t>郑晓婷</t>
  </si>
  <si>
    <t>已离职</t>
  </si>
  <si>
    <t>2022-04-01</t>
  </si>
  <si>
    <t>2026-02-28</t>
  </si>
  <si>
    <t>郑献冲</t>
  </si>
  <si>
    <t>产品专家</t>
  </si>
  <si>
    <t>2014-08-19</t>
  </si>
  <si>
    <t>郑裕显</t>
  </si>
  <si>
    <t>2020-04-13</t>
  </si>
  <si>
    <t>郑鑫</t>
  </si>
  <si>
    <t>2019-04-22</t>
  </si>
  <si>
    <t>郭敏</t>
  </si>
  <si>
    <t>钟丽婷</t>
  </si>
  <si>
    <t>外包;工时系统别名:钟丽婷_sz</t>
  </si>
  <si>
    <t>2026-06-22</t>
  </si>
  <si>
    <t>陆金兰</t>
  </si>
  <si>
    <t>2020-11-24</t>
  </si>
  <si>
    <t>陈丹萍</t>
  </si>
  <si>
    <t>2020-09-28</t>
  </si>
  <si>
    <t>陈凯颖</t>
  </si>
  <si>
    <t>外包;7月入职;别名:陈凯颖;无需填报(7月入职)</t>
  </si>
  <si>
    <t>2026-06-15</t>
  </si>
  <si>
    <t>陈增乐</t>
  </si>
  <si>
    <t>2026-05-19</t>
  </si>
  <si>
    <t>陈婷婷</t>
  </si>
  <si>
    <t>陈建林</t>
  </si>
  <si>
    <t>陈栋</t>
  </si>
  <si>
    <t>2025-11-24</t>
  </si>
  <si>
    <t>2026-01-09</t>
  </si>
  <si>
    <t>陈正坤</t>
  </si>
  <si>
    <t>2019-04-04</t>
  </si>
  <si>
    <t>陈浩</t>
  </si>
  <si>
    <t>2021-05-25</t>
  </si>
  <si>
    <t>陈火旺</t>
  </si>
  <si>
    <t>陈进科</t>
  </si>
  <si>
    <t>2024-08-02</t>
  </si>
  <si>
    <t>2026-05-08</t>
  </si>
  <si>
    <t>陈鑫康</t>
  </si>
  <si>
    <t>2020-04-20</t>
  </si>
  <si>
    <t>陈鹏</t>
  </si>
  <si>
    <t>;别名:大陈鹏</t>
  </si>
  <si>
    <t>2018-06-01</t>
  </si>
  <si>
    <t>陈鹏CP</t>
  </si>
  <si>
    <t>工时系统别名:陈鹏CP;别名:小陈鹏;别名:陈鹏;别名:陈鹏CP</t>
  </si>
  <si>
    <t>韦莉琦</t>
  </si>
  <si>
    <t>顾凌斐</t>
  </si>
  <si>
    <t>2021-03-15</t>
  </si>
  <si>
    <t>马彦研</t>
  </si>
  <si>
    <t>2020-08-31</t>
  </si>
  <si>
    <t>马风英</t>
  </si>
  <si>
    <t>2018-10-29</t>
  </si>
  <si>
    <t>高木生</t>
  </si>
  <si>
    <t>2020-08-17</t>
  </si>
  <si>
    <t>高逸晨</t>
  </si>
  <si>
    <t>外包;工时系统别名:高逸晨_sz</t>
  </si>
  <si>
    <t>黄伟强</t>
  </si>
  <si>
    <t>2011-07-11</t>
  </si>
  <si>
    <t>黄德毅</t>
  </si>
  <si>
    <t>2010-03-01</t>
  </si>
  <si>
    <t>黄敏</t>
  </si>
  <si>
    <t>2021-04-22</t>
  </si>
  <si>
    <t>黄永超</t>
  </si>
  <si>
    <t>2010-05-12</t>
  </si>
  <si>
    <t>黄溢</t>
  </si>
  <si>
    <t>黄琴</t>
  </si>
  <si>
    <t>黎荣森</t>
  </si>
  <si>
    <t>龚浩</t>
  </si>
  <si>
    <t>2026-03-05</t>
  </si>
  <si>
    <t>应用产品部</t>
    <phoneticPr fontId="2" type="noConversion"/>
  </si>
  <si>
    <t>凌脑创新部</t>
    <phoneticPr fontId="2" type="noConversion"/>
  </si>
  <si>
    <t>境知产品部</t>
    <phoneticPr fontId="2" type="noConversion"/>
  </si>
  <si>
    <t>测试部</t>
    <phoneticPr fontId="2" type="noConversion"/>
  </si>
  <si>
    <t>研发治理部</t>
    <phoneticPr fontId="2" type="noConversion"/>
  </si>
  <si>
    <t>智能体研发组</t>
    <phoneticPr fontId="2" type="noConversion"/>
  </si>
  <si>
    <t>流造产品部</t>
    <phoneticPr fontId="2" type="noConversion"/>
  </si>
  <si>
    <t>技术架构部</t>
    <phoneticPr fontId="2" type="noConversion"/>
  </si>
  <si>
    <t>产研办公室</t>
    <phoneticPr fontId="2" type="noConversion"/>
  </si>
  <si>
    <t>凌脑研发组-DI</t>
    <phoneticPr fontId="2" type="noConversion"/>
  </si>
  <si>
    <t>凌流研发组</t>
    <phoneticPr fontId="2" type="noConversion"/>
  </si>
  <si>
    <t>凌境研发组-KK</t>
    <phoneticPr fontId="2" type="noConversion"/>
  </si>
  <si>
    <t>UED</t>
    <phoneticPr fontId="2" type="noConversion"/>
  </si>
  <si>
    <t>境知产品规划组</t>
    <phoneticPr fontId="2" type="noConversion"/>
  </si>
  <si>
    <t>凌脑研发组</t>
    <phoneticPr fontId="2" type="noConversion"/>
  </si>
  <si>
    <t>OA产品研发组</t>
    <phoneticPr fontId="2" type="noConversion"/>
  </si>
  <si>
    <t>熊浪</t>
    <phoneticPr fontId="2" type="noConversion"/>
  </si>
  <si>
    <t>杨旭晋</t>
  </si>
  <si>
    <t>中心外包</t>
    <phoneticPr fontId="2" type="noConversion"/>
  </si>
  <si>
    <t>蒋林</t>
  </si>
  <si>
    <t>王思鑫</t>
  </si>
  <si>
    <t>石晓芳</t>
  </si>
  <si>
    <t>李成翔</t>
  </si>
  <si>
    <t>流造产品规划组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</si>
</sst>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  <font>
      <sz val="11"/>
      <color rgb="FFFE0300"/>
      <name val="宋体"/>
      <family val="3"/>
      <charset val="134"/>
      <scheme val="minor"/>
    </font>
    <font>
      <sz val="10"/>
      <color rgb="FF33333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3CE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DFEBF6"/>
        <bgColor indexed="64"/>
      </patternFill>
    </fill>
    <fill>
      <patternFill patternType="solid">
        <fgColor rgb="FFF3F3F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rgb="FF04B0F1"/>
      </left>
      <right style="dotted">
        <color rgb="FF04B0F1"/>
      </right>
      <top style="dotted">
        <color rgb="FF04B0F1"/>
      </top>
      <bottom style="dotted">
        <color rgb="FF04B0F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3" borderId="2" xfId="0" applyFill="1" applyBorder="1" applyAlignment="1">
      <alignment vertical="center"/>
    </xf>
    <xf numFmtId="14" fontId="4" fillId="4" borderId="2" xfId="0" applyNumberFormat="1" applyFont="1" applyFill="1" applyBorder="1" applyAlignment="1">
      <alignment horizontal="left" vertical="center"/>
    </xf>
    <xf numFmtId="0" fontId="5" fillId="0" borderId="0" xfId="0" applyFont="1"/>
    <xf numFmtId="14" fontId="4" fillId="0" borderId="2" xfId="0" applyNumberFormat="1" applyFont="1" applyBorder="1" applyAlignment="1">
      <alignment horizontal="left" vertical="center"/>
    </xf>
    <xf numFmtId="14" fontId="0" fillId="5" borderId="2" xfId="0" applyNumberFormat="1" applyFill="1" applyBorder="1" applyAlignment="1">
      <alignment horizontal="left" vertical="center"/>
    </xf>
    <xf numFmtId="14" fontId="3" fillId="5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dex%20project\1&#26376;~6&#26376;&#20135;&#33021;&#20998;&#26512;\&#33457;&#21517;&#20876;_&#26356;&#26032;&#29256;.xlsx" TargetMode="External"/><Relationship Id="rId1" Type="http://schemas.openxmlformats.org/officeDocument/2006/relationships/externalLinkPath" Target="&#33457;&#21517;&#20876;_&#26356;&#26032;&#2925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花名册"/>
    </sheetNames>
    <sheetDataSet>
      <sheetData sheetId="0">
        <row r="1">
          <cell r="A1" t="str">
            <v>姓名</v>
          </cell>
          <cell r="E1" t="str">
            <v>二级部门</v>
          </cell>
          <cell r="F1" t="str">
            <v>三级部门</v>
          </cell>
        </row>
        <row r="2">
          <cell r="A2" t="str">
            <v>杨建宏</v>
          </cell>
          <cell r="E2" t="str">
            <v>研发治理部</v>
          </cell>
          <cell r="F2" t="str">
            <v>三快支持组</v>
          </cell>
        </row>
        <row r="3">
          <cell r="A3" t="str">
            <v>蔡俊</v>
          </cell>
          <cell r="E3" t="str">
            <v>研发治理部</v>
          </cell>
          <cell r="F3" t="str">
            <v>配置管理组</v>
          </cell>
        </row>
        <row r="4">
          <cell r="A4" t="str">
            <v>吴良喜</v>
          </cell>
          <cell r="E4" t="str">
            <v>研发治理部</v>
          </cell>
          <cell r="F4" t="str">
            <v>配置管理组</v>
          </cell>
        </row>
        <row r="5">
          <cell r="A5" t="str">
            <v>黄永超</v>
          </cell>
          <cell r="E5" t="str">
            <v>应用产品部</v>
          </cell>
          <cell r="F5" t="str">
            <v>ISV＆集成研发组</v>
          </cell>
        </row>
        <row r="6">
          <cell r="A6" t="str">
            <v>王亮</v>
          </cell>
          <cell r="E6" t="str">
            <v>研发治理部</v>
          </cell>
          <cell r="F6" t="str">
            <v>效能提升组</v>
          </cell>
        </row>
        <row r="7">
          <cell r="A7" t="str">
            <v>曹映辉</v>
          </cell>
          <cell r="E7" t="str">
            <v>流造产品部</v>
          </cell>
        </row>
        <row r="8">
          <cell r="A8" t="str">
            <v>洪泽铨</v>
          </cell>
          <cell r="E8" t="str">
            <v>流造产品部</v>
          </cell>
          <cell r="F8" t="str">
            <v>凌造研发组</v>
          </cell>
        </row>
        <row r="9">
          <cell r="A9" t="str">
            <v>黄伟强</v>
          </cell>
          <cell r="E9" t="str">
            <v>流造产品部</v>
          </cell>
          <cell r="F9" t="str">
            <v>智能体研发组</v>
          </cell>
        </row>
        <row r="10">
          <cell r="A10" t="str">
            <v>施东荣</v>
          </cell>
          <cell r="E10" t="str">
            <v>境知产品部</v>
          </cell>
          <cell r="F10" t="str">
            <v>凌境研发组</v>
          </cell>
        </row>
        <row r="11">
          <cell r="A11" t="str">
            <v>张岩</v>
          </cell>
          <cell r="E11" t="str">
            <v>境知产品部</v>
          </cell>
          <cell r="F11" t="str">
            <v>凌境研发组</v>
          </cell>
        </row>
        <row r="12">
          <cell r="A12" t="str">
            <v>王兵</v>
          </cell>
          <cell r="E12" t="str">
            <v>应用产品部</v>
          </cell>
          <cell r="F12" t="str">
            <v>ISV＆集成研发组</v>
          </cell>
        </row>
        <row r="13">
          <cell r="A13" t="str">
            <v>孙远木</v>
          </cell>
          <cell r="E13" t="str">
            <v>研发治理部</v>
          </cell>
          <cell r="F13" t="str">
            <v>测试部</v>
          </cell>
        </row>
        <row r="14">
          <cell r="A14" t="str">
            <v>谢科明</v>
          </cell>
          <cell r="E14" t="str">
            <v>境知产品部</v>
          </cell>
          <cell r="F14" t="str">
            <v>凌境研发组</v>
          </cell>
        </row>
        <row r="15">
          <cell r="A15" t="str">
            <v>谢星星</v>
          </cell>
          <cell r="E15" t="str">
            <v>应用产品部</v>
          </cell>
          <cell r="F15" t="str">
            <v>ISV＆集成研发组</v>
          </cell>
        </row>
        <row r="16">
          <cell r="A16" t="str">
            <v>陈建林</v>
          </cell>
          <cell r="E16" t="str">
            <v>境知产品部</v>
          </cell>
          <cell r="F16" t="str">
            <v>凌境研发组</v>
          </cell>
        </row>
        <row r="17">
          <cell r="A17" t="str">
            <v>吴婉琳</v>
          </cell>
          <cell r="E17" t="str">
            <v>流造产品部</v>
          </cell>
          <cell r="F17" t="str">
            <v>流造产品规划组</v>
          </cell>
        </row>
        <row r="18">
          <cell r="A18" t="str">
            <v>范月明</v>
          </cell>
          <cell r="E18" t="str">
            <v>境知产品部</v>
          </cell>
          <cell r="F18" t="str">
            <v>客户成功支持组</v>
          </cell>
        </row>
        <row r="19">
          <cell r="A19" t="str">
            <v>周梓凡</v>
          </cell>
          <cell r="E19" t="str">
            <v>流造产品部</v>
          </cell>
          <cell r="F19" t="str">
            <v>智能体研发组</v>
          </cell>
        </row>
        <row r="20">
          <cell r="A20" t="str">
            <v>程继军</v>
          </cell>
          <cell r="E20" t="str">
            <v>凌脑创新部</v>
          </cell>
          <cell r="F20" t="str">
            <v>凌脑研发组</v>
          </cell>
        </row>
        <row r="21">
          <cell r="A21" t="str">
            <v>林秀贤</v>
          </cell>
          <cell r="E21" t="str">
            <v>境知产品部</v>
          </cell>
          <cell r="F21" t="str">
            <v>凌知研发组</v>
          </cell>
        </row>
        <row r="22">
          <cell r="A22" t="str">
            <v>郑献冲</v>
          </cell>
          <cell r="E22" t="str">
            <v>境知产品部</v>
          </cell>
          <cell r="F22" t="str">
            <v>境知产品规划组</v>
          </cell>
        </row>
        <row r="23">
          <cell r="A23" t="str">
            <v>曾小兵</v>
          </cell>
          <cell r="E23" t="str">
            <v>研发治理部</v>
          </cell>
          <cell r="F23" t="str">
            <v>测试部</v>
          </cell>
        </row>
        <row r="24">
          <cell r="A24" t="str">
            <v>林彬彬</v>
          </cell>
          <cell r="E24" t="str">
            <v>流造产品部</v>
          </cell>
          <cell r="F24" t="str">
            <v>凌流研发组</v>
          </cell>
        </row>
        <row r="25">
          <cell r="A25" t="str">
            <v>潘永辉</v>
          </cell>
          <cell r="E25" t="str">
            <v>应用产品部</v>
          </cell>
          <cell r="F25" t="str">
            <v>OA产品研发组</v>
          </cell>
        </row>
        <row r="26">
          <cell r="A26" t="str">
            <v>严明镜</v>
          </cell>
          <cell r="E26" t="str">
            <v>流造产品部</v>
          </cell>
          <cell r="F26" t="str">
            <v>凌造研发组</v>
          </cell>
        </row>
        <row r="27">
          <cell r="A27" t="str">
            <v>唐小玉</v>
          </cell>
          <cell r="E27" t="str">
            <v>流造产品部</v>
          </cell>
          <cell r="F27" t="str">
            <v>流造产品规划组</v>
          </cell>
        </row>
        <row r="28">
          <cell r="A28" t="str">
            <v>封海石</v>
          </cell>
          <cell r="E28" t="str">
            <v>境知产品部</v>
          </cell>
          <cell r="F28" t="str">
            <v>凌境研发组</v>
          </cell>
        </row>
        <row r="29">
          <cell r="A29" t="str">
            <v>孟雪峰</v>
          </cell>
          <cell r="E29" t="str">
            <v>研发治理部</v>
          </cell>
          <cell r="F29" t="str">
            <v>配置管理组</v>
          </cell>
        </row>
        <row r="30">
          <cell r="A30" t="str">
            <v>代家宽</v>
          </cell>
          <cell r="E30" t="str">
            <v>境知产品部</v>
          </cell>
          <cell r="F30" t="str">
            <v>凌知研发组</v>
          </cell>
        </row>
        <row r="31">
          <cell r="A31" t="str">
            <v>余小冬</v>
          </cell>
          <cell r="E31" t="str">
            <v>研发治理部</v>
          </cell>
          <cell r="F31" t="str">
            <v>测试部</v>
          </cell>
        </row>
        <row r="32">
          <cell r="A32" t="str">
            <v>张建忠</v>
          </cell>
          <cell r="E32" t="str">
            <v>应用产品部</v>
          </cell>
          <cell r="F32" t="str">
            <v>ISV＆集成研发组</v>
          </cell>
        </row>
        <row r="33">
          <cell r="A33" t="str">
            <v>王逍</v>
          </cell>
          <cell r="E33" t="str">
            <v>应用产品部</v>
          </cell>
          <cell r="F33" t="str">
            <v>OA产品研发组</v>
          </cell>
        </row>
        <row r="34">
          <cell r="A34" t="str">
            <v>叶正平</v>
          </cell>
          <cell r="E34" t="str">
            <v>应用产品部</v>
          </cell>
          <cell r="F34" t="str">
            <v>OA产品研发组</v>
          </cell>
        </row>
        <row r="35">
          <cell r="A35" t="str">
            <v>袁汉祥</v>
          </cell>
          <cell r="E35" t="str">
            <v>流造产品部</v>
          </cell>
          <cell r="F35" t="str">
            <v>凌造研发组</v>
          </cell>
        </row>
        <row r="36">
          <cell r="A36" t="str">
            <v>陈鹏_境知</v>
          </cell>
          <cell r="E36" t="str">
            <v>境知产品部</v>
          </cell>
        </row>
        <row r="37">
          <cell r="A37" t="str">
            <v>严海星</v>
          </cell>
          <cell r="E37" t="str">
            <v>凌脑创新部</v>
          </cell>
          <cell r="F37" t="str">
            <v>凌脑研发组</v>
          </cell>
        </row>
        <row r="38">
          <cell r="A38" t="str">
            <v>杨铮</v>
          </cell>
          <cell r="E38" t="str">
            <v>凌脑创新部</v>
          </cell>
          <cell r="F38" t="str">
            <v>凌脑研发组</v>
          </cell>
        </row>
        <row r="39">
          <cell r="A39" t="str">
            <v>谢宇冶</v>
          </cell>
          <cell r="E39" t="str">
            <v>研发治理部</v>
          </cell>
          <cell r="F39" t="str">
            <v>测试部</v>
          </cell>
        </row>
        <row r="40">
          <cell r="A40" t="str">
            <v>官晓林</v>
          </cell>
          <cell r="E40" t="str">
            <v>境知产品部</v>
          </cell>
          <cell r="F40" t="str">
            <v>客户成功支持组</v>
          </cell>
        </row>
        <row r="41">
          <cell r="A41" t="str">
            <v>马风英</v>
          </cell>
          <cell r="E41" t="str">
            <v>研发治理部</v>
          </cell>
          <cell r="F41" t="str">
            <v>测试部</v>
          </cell>
        </row>
        <row r="42">
          <cell r="A42" t="str">
            <v>邓春喜</v>
          </cell>
          <cell r="E42" t="str">
            <v>应用产品部</v>
          </cell>
          <cell r="F42" t="str">
            <v>应用产品规划组</v>
          </cell>
        </row>
        <row r="43">
          <cell r="A43" t="str">
            <v>谭昌香</v>
          </cell>
          <cell r="E43" t="str">
            <v>应用产品部</v>
          </cell>
          <cell r="F43" t="str">
            <v>OA产品研发组</v>
          </cell>
        </row>
        <row r="44">
          <cell r="A44" t="str">
            <v>张艳</v>
          </cell>
          <cell r="E44" t="str">
            <v>境知产品部</v>
          </cell>
          <cell r="F44" t="str">
            <v>境知产品规划组</v>
          </cell>
        </row>
        <row r="45">
          <cell r="A45" t="str">
            <v>许远周</v>
          </cell>
          <cell r="E45" t="str">
            <v>境知产品部</v>
          </cell>
          <cell r="F45" t="str">
            <v>凌知研发组</v>
          </cell>
        </row>
        <row r="46">
          <cell r="A46" t="str">
            <v>洪健</v>
          </cell>
          <cell r="E46" t="str">
            <v>应用产品部</v>
          </cell>
          <cell r="F46" t="str">
            <v>OA产品研发组</v>
          </cell>
        </row>
        <row r="47">
          <cell r="A47" t="str">
            <v>张越良</v>
          </cell>
          <cell r="E47" t="str">
            <v>流造产品部</v>
          </cell>
          <cell r="F47" t="str">
            <v>智能体研发组</v>
          </cell>
        </row>
        <row r="48">
          <cell r="A48" t="str">
            <v>欧宇</v>
          </cell>
          <cell r="E48" t="str">
            <v>应用产品部</v>
          </cell>
          <cell r="F48" t="str">
            <v>OA产品研发组</v>
          </cell>
        </row>
        <row r="49">
          <cell r="A49" t="str">
            <v>陈正坤</v>
          </cell>
          <cell r="E49" t="str">
            <v>应用产品部</v>
          </cell>
          <cell r="F49" t="str">
            <v>ISV＆集成研发组</v>
          </cell>
        </row>
        <row r="50">
          <cell r="A50" t="str">
            <v>李尚志</v>
          </cell>
          <cell r="E50" t="str">
            <v>流造产品部</v>
          </cell>
          <cell r="F50" t="str">
            <v>凌造研发组</v>
          </cell>
        </row>
        <row r="51">
          <cell r="A51" t="str">
            <v>余亮</v>
          </cell>
          <cell r="E51" t="str">
            <v>流造产品部</v>
          </cell>
          <cell r="F51" t="str">
            <v>智能体研发组</v>
          </cell>
        </row>
        <row r="52">
          <cell r="A52" t="str">
            <v>周才伟</v>
          </cell>
          <cell r="E52" t="str">
            <v>应用产品部</v>
          </cell>
          <cell r="F52" t="str">
            <v>产品体验组</v>
          </cell>
        </row>
        <row r="53">
          <cell r="A53" t="str">
            <v>郑鑫</v>
          </cell>
          <cell r="E53" t="str">
            <v>应用产品部</v>
          </cell>
          <cell r="F53" t="str">
            <v>OA产品研发组</v>
          </cell>
        </row>
        <row r="54">
          <cell r="A54" t="str">
            <v>任和珍</v>
          </cell>
          <cell r="E54" t="str">
            <v>流造产品部</v>
          </cell>
          <cell r="F54" t="str">
            <v>流造产品规划组</v>
          </cell>
        </row>
        <row r="55">
          <cell r="A55" t="str">
            <v>张锐</v>
          </cell>
          <cell r="E55" t="str">
            <v>流造产品部</v>
          </cell>
          <cell r="F55" t="str">
            <v>凌造研发组</v>
          </cell>
        </row>
        <row r="56">
          <cell r="A56" t="str">
            <v>陈火旺</v>
          </cell>
          <cell r="E56" t="str">
            <v>应用产品部</v>
          </cell>
          <cell r="F56" t="str">
            <v>ISV＆集成研发组</v>
          </cell>
        </row>
        <row r="57">
          <cell r="A57" t="str">
            <v>刘庞</v>
          </cell>
          <cell r="E57" t="str">
            <v>凌脑创新部</v>
          </cell>
          <cell r="F57" t="str">
            <v>凌脑研发组</v>
          </cell>
        </row>
        <row r="58">
          <cell r="A58" t="str">
            <v>郑操辉</v>
          </cell>
          <cell r="E58" t="str">
            <v>应用产品部</v>
          </cell>
          <cell r="F58" t="str">
            <v>OA产品研发组</v>
          </cell>
        </row>
        <row r="59">
          <cell r="A59" t="str">
            <v>唐有炜</v>
          </cell>
          <cell r="E59" t="str">
            <v>凌脑创新部</v>
          </cell>
          <cell r="F59" t="str">
            <v>凌脑研发组</v>
          </cell>
        </row>
        <row r="60">
          <cell r="A60" t="str">
            <v>童张玉</v>
          </cell>
          <cell r="E60" t="str">
            <v>应用产品部</v>
          </cell>
          <cell r="F60" t="str">
            <v>产品体验组</v>
          </cell>
        </row>
        <row r="61">
          <cell r="A61" t="str">
            <v>郑伯宇</v>
          </cell>
          <cell r="E61" t="str">
            <v>研发治理部</v>
          </cell>
          <cell r="F61" t="str">
            <v>效能提升组</v>
          </cell>
        </row>
        <row r="62">
          <cell r="A62" t="str">
            <v>张小雪</v>
          </cell>
          <cell r="E62" t="str">
            <v>研发治理部</v>
          </cell>
          <cell r="F62" t="str">
            <v>测试部</v>
          </cell>
        </row>
        <row r="63">
          <cell r="A63" t="str">
            <v>贺双</v>
          </cell>
          <cell r="E63" t="str">
            <v>流造产品部</v>
          </cell>
          <cell r="F63" t="str">
            <v>流造产品规划组</v>
          </cell>
        </row>
        <row r="64">
          <cell r="A64" t="str">
            <v>侯晓博</v>
          </cell>
          <cell r="E64" t="str">
            <v>流造产品部</v>
          </cell>
          <cell r="F64" t="str">
            <v>智能体研发组</v>
          </cell>
        </row>
        <row r="65">
          <cell r="A65" t="str">
            <v>李芳敏</v>
          </cell>
          <cell r="E65" t="str">
            <v>境知产品部</v>
          </cell>
          <cell r="F65" t="str">
            <v>凌知研发组</v>
          </cell>
        </row>
        <row r="66">
          <cell r="A66" t="str">
            <v>刘宏羽</v>
          </cell>
          <cell r="E66" t="str">
            <v>凌脑创新部</v>
          </cell>
          <cell r="F66" t="str">
            <v>凌脑研发组</v>
          </cell>
        </row>
        <row r="67">
          <cell r="A67" t="str">
            <v>周勉</v>
          </cell>
          <cell r="E67" t="str">
            <v>境知产品部</v>
          </cell>
          <cell r="F67" t="str">
            <v>凌境研发组</v>
          </cell>
        </row>
        <row r="68">
          <cell r="A68" t="str">
            <v>郭敏</v>
          </cell>
          <cell r="E68" t="str">
            <v>凌脑创新部</v>
          </cell>
          <cell r="F68" t="str">
            <v>凌脑研发组</v>
          </cell>
        </row>
        <row r="69">
          <cell r="A69" t="str">
            <v>郑裕显</v>
          </cell>
          <cell r="E69" t="str">
            <v>技术架构部</v>
          </cell>
        </row>
        <row r="70">
          <cell r="A70" t="str">
            <v>陈鹏_流造</v>
          </cell>
          <cell r="E70" t="str">
            <v>流造产品部</v>
          </cell>
          <cell r="F70" t="str">
            <v>智能体研发组</v>
          </cell>
        </row>
        <row r="71">
          <cell r="A71" t="str">
            <v>陈鑫康</v>
          </cell>
          <cell r="E71" t="str">
            <v>应用产品部</v>
          </cell>
          <cell r="F71" t="str">
            <v>OA产品研发组</v>
          </cell>
        </row>
        <row r="72">
          <cell r="A72" t="str">
            <v>黄琴</v>
          </cell>
          <cell r="E72" t="str">
            <v>流造产品部</v>
          </cell>
          <cell r="F72" t="str">
            <v>凌造研发组</v>
          </cell>
        </row>
        <row r="73">
          <cell r="A73" t="str">
            <v>孙丝语</v>
          </cell>
          <cell r="E73" t="str">
            <v>应用产品部</v>
          </cell>
          <cell r="F73" t="str">
            <v>应用产品规划组</v>
          </cell>
        </row>
        <row r="74">
          <cell r="A74" t="str">
            <v>蒋毛生</v>
          </cell>
          <cell r="E74" t="str">
            <v>研发治理部</v>
          </cell>
          <cell r="F74" t="str">
            <v>配置管理组</v>
          </cell>
        </row>
        <row r="75">
          <cell r="A75" t="str">
            <v>徐文辉</v>
          </cell>
          <cell r="E75" t="str">
            <v>应用产品部</v>
          </cell>
          <cell r="F75" t="str">
            <v>OA产品研发组</v>
          </cell>
        </row>
        <row r="76">
          <cell r="A76" t="str">
            <v>赖嘉怡</v>
          </cell>
          <cell r="E76" t="str">
            <v>流造产品部</v>
          </cell>
          <cell r="F76" t="str">
            <v>流造产品规划组</v>
          </cell>
        </row>
        <row r="77">
          <cell r="A77" t="str">
            <v>黎荣森</v>
          </cell>
          <cell r="E77" t="str">
            <v>流造产品部</v>
          </cell>
          <cell r="F77" t="str">
            <v>凌流研发组</v>
          </cell>
        </row>
        <row r="78">
          <cell r="A78" t="str">
            <v>韦莉琦</v>
          </cell>
          <cell r="E78" t="str">
            <v>研发治理部</v>
          </cell>
          <cell r="F78" t="str">
            <v>三快支持组</v>
          </cell>
        </row>
        <row r="79">
          <cell r="A79" t="str">
            <v>利妙凤</v>
          </cell>
          <cell r="E79" t="str">
            <v>研发治理部</v>
          </cell>
          <cell r="F79" t="str">
            <v>测试部</v>
          </cell>
        </row>
        <row r="80">
          <cell r="A80" t="str">
            <v>刘振</v>
          </cell>
          <cell r="E80" t="str">
            <v>境知产品部</v>
          </cell>
          <cell r="F80" t="str">
            <v>凌境研发组</v>
          </cell>
        </row>
        <row r="81">
          <cell r="A81" t="str">
            <v>刘芬</v>
          </cell>
          <cell r="E81" t="str">
            <v>研发治理部</v>
          </cell>
          <cell r="F81" t="str">
            <v>测试部</v>
          </cell>
        </row>
        <row r="82">
          <cell r="A82" t="str">
            <v>张晓甜</v>
          </cell>
          <cell r="E82" t="str">
            <v>境知产品部</v>
          </cell>
          <cell r="F82" t="str">
            <v>凌境研发组</v>
          </cell>
        </row>
        <row r="83">
          <cell r="A83" t="str">
            <v>高木生</v>
          </cell>
          <cell r="E83" t="str">
            <v>流造产品部</v>
          </cell>
          <cell r="F83" t="str">
            <v>凌流研发组</v>
          </cell>
        </row>
        <row r="84">
          <cell r="A84" t="str">
            <v>马彦研</v>
          </cell>
          <cell r="E84" t="str">
            <v>应用产品部</v>
          </cell>
          <cell r="F84" t="str">
            <v>ISV＆集成研发组</v>
          </cell>
        </row>
        <row r="85">
          <cell r="A85" t="str">
            <v>帅胜余</v>
          </cell>
          <cell r="E85" t="str">
            <v>流造产品部</v>
          </cell>
          <cell r="F85" t="str">
            <v>流造产品规划组</v>
          </cell>
        </row>
        <row r="86">
          <cell r="A86" t="str">
            <v>陈丹萍</v>
          </cell>
          <cell r="E86" t="str">
            <v>应用产品部</v>
          </cell>
          <cell r="F86" t="str">
            <v>ISV＆集成研发组</v>
          </cell>
        </row>
        <row r="87">
          <cell r="A87" t="str">
            <v>唐程润</v>
          </cell>
          <cell r="E87" t="str">
            <v>应用产品部</v>
          </cell>
          <cell r="F87" t="str">
            <v>OA产品研发组</v>
          </cell>
        </row>
        <row r="88">
          <cell r="A88" t="str">
            <v>陆金兰</v>
          </cell>
          <cell r="E88" t="str">
            <v>研发治理部</v>
          </cell>
          <cell r="F88" t="str">
            <v>测试部</v>
          </cell>
        </row>
        <row r="89">
          <cell r="A89" t="str">
            <v>汪亮</v>
          </cell>
          <cell r="E89" t="str">
            <v>应用产品部</v>
          </cell>
          <cell r="F89" t="str">
            <v>OA产品研发组</v>
          </cell>
        </row>
        <row r="90">
          <cell r="A90" t="str">
            <v>余家安</v>
          </cell>
          <cell r="E90" t="str">
            <v>流造产品部</v>
          </cell>
          <cell r="F90" t="str">
            <v>凌流研发组</v>
          </cell>
        </row>
        <row r="91">
          <cell r="A91" t="str">
            <v>姚宇</v>
          </cell>
          <cell r="E91" t="str">
            <v>凌脑创新部</v>
          </cell>
          <cell r="F91" t="str">
            <v>凌脑研发组</v>
          </cell>
        </row>
        <row r="92">
          <cell r="A92" t="str">
            <v>刘萍</v>
          </cell>
          <cell r="E92" t="str">
            <v>产研办公室</v>
          </cell>
        </row>
        <row r="93">
          <cell r="A93" t="str">
            <v>赵荧莹</v>
          </cell>
          <cell r="E93" t="str">
            <v>境知产品部</v>
          </cell>
          <cell r="F93" t="str">
            <v>境知产品规划组</v>
          </cell>
        </row>
        <row r="94">
          <cell r="A94" t="str">
            <v>顾凌斐</v>
          </cell>
          <cell r="E94" t="str">
            <v>应用产品部</v>
          </cell>
          <cell r="F94" t="str">
            <v>产品体验组</v>
          </cell>
        </row>
        <row r="95">
          <cell r="A95" t="str">
            <v>付文松</v>
          </cell>
          <cell r="E95" t="str">
            <v>流造产品部</v>
          </cell>
          <cell r="F95" t="str">
            <v>智能体研发组</v>
          </cell>
        </row>
        <row r="96">
          <cell r="A96" t="str">
            <v>王丽永</v>
          </cell>
          <cell r="E96" t="str">
            <v>凌脑创新部</v>
          </cell>
          <cell r="F96" t="str">
            <v>凌脑研发组</v>
          </cell>
        </row>
        <row r="97">
          <cell r="A97" t="str">
            <v>吴彬</v>
          </cell>
          <cell r="E97" t="str">
            <v>研发治理部</v>
          </cell>
          <cell r="F97" t="str">
            <v>效能提升组</v>
          </cell>
        </row>
        <row r="98">
          <cell r="A98" t="str">
            <v>张颖</v>
          </cell>
          <cell r="E98" t="str">
            <v>境知产品部</v>
          </cell>
          <cell r="F98" t="str">
            <v>凌知研发组</v>
          </cell>
        </row>
        <row r="99">
          <cell r="A99" t="str">
            <v>罗永艺</v>
          </cell>
          <cell r="E99" t="str">
            <v>研发治理部</v>
          </cell>
          <cell r="F99" t="str">
            <v>测试部</v>
          </cell>
        </row>
        <row r="100">
          <cell r="A100" t="str">
            <v>刘银</v>
          </cell>
          <cell r="E100" t="str">
            <v>研发治理部</v>
          </cell>
          <cell r="F100" t="str">
            <v>测试部</v>
          </cell>
        </row>
        <row r="101">
          <cell r="A101" t="str">
            <v>潘浩丹</v>
          </cell>
          <cell r="E101" t="str">
            <v>应用产品部</v>
          </cell>
          <cell r="F101" t="str">
            <v>产品体验组</v>
          </cell>
        </row>
        <row r="102">
          <cell r="A102" t="str">
            <v>陈浩</v>
          </cell>
          <cell r="E102" t="str">
            <v>应用产品部</v>
          </cell>
          <cell r="F102" t="str">
            <v>ISV＆集成研发组</v>
          </cell>
        </row>
        <row r="103">
          <cell r="A103" t="str">
            <v>李海瑞</v>
          </cell>
          <cell r="E103" t="str">
            <v>应用产品部</v>
          </cell>
          <cell r="F103" t="str">
            <v>应用产品规划组</v>
          </cell>
        </row>
        <row r="104">
          <cell r="A104" t="str">
            <v>李炜健</v>
          </cell>
          <cell r="E104" t="str">
            <v>境知产品部</v>
          </cell>
          <cell r="F104" t="str">
            <v>境知产品规划组</v>
          </cell>
        </row>
        <row r="105">
          <cell r="A105" t="str">
            <v>刘水明</v>
          </cell>
          <cell r="E105" t="str">
            <v>应用产品部</v>
          </cell>
          <cell r="F105" t="str">
            <v>OA产品研发组</v>
          </cell>
        </row>
        <row r="106">
          <cell r="A106" t="str">
            <v>李琦</v>
          </cell>
          <cell r="E106" t="str">
            <v>研发治理部</v>
          </cell>
          <cell r="F106" t="str">
            <v>测试部</v>
          </cell>
        </row>
        <row r="107">
          <cell r="A107" t="str">
            <v>张志江</v>
          </cell>
          <cell r="E107" t="str">
            <v>流造产品部</v>
          </cell>
          <cell r="F107" t="str">
            <v>凌造研发组</v>
          </cell>
        </row>
        <row r="108">
          <cell r="A108" t="str">
            <v>刘娜</v>
          </cell>
          <cell r="E108" t="str">
            <v>应用产品部</v>
          </cell>
          <cell r="F108" t="str">
            <v>ISV＆集成研发组</v>
          </cell>
        </row>
        <row r="109">
          <cell r="A109" t="str">
            <v>张慧珍</v>
          </cell>
          <cell r="E109" t="str">
            <v>产研办公室</v>
          </cell>
        </row>
        <row r="110">
          <cell r="A110" t="str">
            <v>叶冠华</v>
          </cell>
          <cell r="E110" t="str">
            <v>境知产品部</v>
          </cell>
          <cell r="F110" t="str">
            <v>客户成功支持组</v>
          </cell>
        </row>
        <row r="111">
          <cell r="A111" t="str">
            <v>潘在昌</v>
          </cell>
          <cell r="E111" t="str">
            <v>境知产品部</v>
          </cell>
          <cell r="F111" t="str">
            <v>境知产品规划组</v>
          </cell>
        </row>
        <row r="112">
          <cell r="A112" t="str">
            <v>李博宇</v>
          </cell>
          <cell r="E112" t="str">
            <v>应用产品部</v>
          </cell>
          <cell r="F112" t="str">
            <v>产品体验组</v>
          </cell>
        </row>
        <row r="113">
          <cell r="A113" t="str">
            <v>梁明达</v>
          </cell>
          <cell r="E113" t="str">
            <v>流造产品部</v>
          </cell>
          <cell r="F113" t="str">
            <v>凌流研发组</v>
          </cell>
        </row>
        <row r="114">
          <cell r="A114" t="str">
            <v>吴世佳</v>
          </cell>
          <cell r="E114" t="str">
            <v>应用产品部</v>
          </cell>
          <cell r="F114" t="str">
            <v>应用产品规划组</v>
          </cell>
        </row>
        <row r="115">
          <cell r="A115" t="str">
            <v>卢海强</v>
          </cell>
          <cell r="E115" t="str">
            <v>流造产品部</v>
          </cell>
          <cell r="F115" t="str">
            <v>智能体研发组</v>
          </cell>
        </row>
        <row r="116">
          <cell r="A116" t="str">
            <v>朱朋祥</v>
          </cell>
          <cell r="E116" t="str">
            <v>应用产品部</v>
          </cell>
          <cell r="F116" t="str">
            <v>OA产品研发组</v>
          </cell>
        </row>
        <row r="117">
          <cell r="A117" t="str">
            <v>蒋业旺</v>
          </cell>
          <cell r="E117" t="str">
            <v>应用产品部</v>
          </cell>
          <cell r="F117" t="str">
            <v>ISV＆集成研发组</v>
          </cell>
        </row>
        <row r="118">
          <cell r="A118" t="str">
            <v>林勤耀</v>
          </cell>
          <cell r="E118" t="str">
            <v>研发治理部</v>
          </cell>
          <cell r="F118" t="str">
            <v>测试部</v>
          </cell>
        </row>
        <row r="119">
          <cell r="A119" t="str">
            <v>程默</v>
          </cell>
          <cell r="E119" t="str">
            <v>凌脑创新部</v>
          </cell>
          <cell r="F119" t="str">
            <v>凌脑研发组</v>
          </cell>
        </row>
        <row r="120">
          <cell r="A120" t="str">
            <v>王彪</v>
          </cell>
          <cell r="E120" t="str">
            <v>流造产品部</v>
          </cell>
          <cell r="F120" t="str">
            <v>凌造研发组</v>
          </cell>
        </row>
        <row r="121">
          <cell r="A121" t="str">
            <v>凌通</v>
          </cell>
          <cell r="E121" t="str">
            <v>流造产品部</v>
          </cell>
          <cell r="F121" t="str">
            <v>凌造研发组</v>
          </cell>
        </row>
        <row r="122">
          <cell r="A122" t="str">
            <v>蔡海练</v>
          </cell>
          <cell r="E122" t="str">
            <v>应用产品部</v>
          </cell>
          <cell r="F122" t="str">
            <v>OA产品研发组</v>
          </cell>
        </row>
        <row r="123">
          <cell r="A123" t="str">
            <v>李昂</v>
          </cell>
          <cell r="E123" t="str">
            <v>境知产品部</v>
          </cell>
          <cell r="F123" t="str">
            <v>凌知研发组</v>
          </cell>
        </row>
        <row r="124">
          <cell r="A124" t="str">
            <v>熊金华</v>
          </cell>
          <cell r="E124" t="str">
            <v>应用产品部</v>
          </cell>
          <cell r="F124" t="str">
            <v>ISV＆集成研发组</v>
          </cell>
        </row>
        <row r="125">
          <cell r="A125" t="str">
            <v>潘钜</v>
          </cell>
          <cell r="E125" t="str">
            <v>流造产品部</v>
          </cell>
          <cell r="F125" t="str">
            <v>凌流研发组</v>
          </cell>
        </row>
        <row r="126">
          <cell r="A126" t="str">
            <v>张艳萍</v>
          </cell>
          <cell r="E126" t="str">
            <v>研发治理部</v>
          </cell>
          <cell r="F126" t="str">
            <v>测试部</v>
          </cell>
        </row>
        <row r="127">
          <cell r="A127" t="str">
            <v>廖星</v>
          </cell>
          <cell r="E127" t="str">
            <v>流造产品部</v>
          </cell>
          <cell r="F127" t="str">
            <v>凌造研发组</v>
          </cell>
        </row>
        <row r="128">
          <cell r="A128" t="str">
            <v>王路平</v>
          </cell>
          <cell r="E128" t="str">
            <v>境知产品部</v>
          </cell>
          <cell r="F128" t="str">
            <v>客户成功支持组</v>
          </cell>
        </row>
        <row r="129">
          <cell r="A129" t="str">
            <v>潘珏</v>
          </cell>
          <cell r="E129" t="str">
            <v>凌脑创新部</v>
          </cell>
          <cell r="F129" t="str">
            <v>凌脑产品规划组</v>
          </cell>
        </row>
        <row r="130">
          <cell r="A130" t="str">
            <v>廖嘉琪</v>
          </cell>
          <cell r="E130" t="str">
            <v>流造产品部</v>
          </cell>
          <cell r="F130" t="str">
            <v>流造产品规划组</v>
          </cell>
        </row>
        <row r="131">
          <cell r="A131" t="str">
            <v>胡真毓</v>
          </cell>
          <cell r="E131" t="str">
            <v>凌脑创新部</v>
          </cell>
          <cell r="F131" t="str">
            <v>凌脑产品规划组</v>
          </cell>
        </row>
        <row r="132">
          <cell r="A132" t="str">
            <v>李继维</v>
          </cell>
          <cell r="E132" t="str">
            <v>凌脑创新部</v>
          </cell>
          <cell r="F132" t="str">
            <v>凌脑研发组</v>
          </cell>
        </row>
        <row r="133">
          <cell r="A133" t="str">
            <v>李志强</v>
          </cell>
          <cell r="E133" t="str">
            <v>凌脑创新部</v>
          </cell>
          <cell r="F133" t="str">
            <v>凌脑研发组</v>
          </cell>
        </row>
        <row r="134">
          <cell r="A134" t="str">
            <v>徐伟雄</v>
          </cell>
          <cell r="E134" t="str">
            <v>技术架构部</v>
          </cell>
        </row>
        <row r="135">
          <cell r="A135" t="str">
            <v>方楠</v>
          </cell>
          <cell r="E135" t="str">
            <v>技术架构部</v>
          </cell>
        </row>
        <row r="136">
          <cell r="A136" t="str">
            <v>杨胜</v>
          </cell>
          <cell r="E136" t="str">
            <v>流造产品部</v>
          </cell>
          <cell r="F136" t="str">
            <v>智能体研发组</v>
          </cell>
        </row>
        <row r="137">
          <cell r="A137" t="str">
            <v>严冰</v>
          </cell>
          <cell r="E137" t="str">
            <v>产研办公室</v>
          </cell>
        </row>
        <row r="138">
          <cell r="A138" t="str">
            <v>李夏昕</v>
          </cell>
          <cell r="E138" t="str">
            <v>产研办公室</v>
          </cell>
        </row>
        <row r="139">
          <cell r="A139" t="str">
            <v>周昱岑</v>
          </cell>
          <cell r="E139" t="str">
            <v>境知产品部</v>
          </cell>
          <cell r="F139" t="str">
            <v>客户成功支持组</v>
          </cell>
        </row>
        <row r="140">
          <cell r="A140" t="str">
            <v>李俊</v>
          </cell>
          <cell r="E140" t="str">
            <v>境知产品部</v>
          </cell>
          <cell r="F140" t="str">
            <v>客户成功支持组</v>
          </cell>
        </row>
        <row r="141">
          <cell r="A141" t="str">
            <v>陈增乐</v>
          </cell>
          <cell r="E141" t="str">
            <v>研发治理部</v>
          </cell>
          <cell r="F141" t="str">
            <v>测试部</v>
          </cell>
        </row>
        <row r="142">
          <cell r="A142" t="str">
            <v>崔胜兰</v>
          </cell>
          <cell r="E142" t="str">
            <v>研发治理部</v>
          </cell>
          <cell r="F142" t="str">
            <v>测试部</v>
          </cell>
        </row>
        <row r="143">
          <cell r="A143" t="str">
            <v>管思雅</v>
          </cell>
          <cell r="E143" t="str">
            <v>产研办公室</v>
          </cell>
        </row>
        <row r="144">
          <cell r="A144" t="str">
            <v>徐颖</v>
          </cell>
          <cell r="E144" t="str">
            <v>产研办公室</v>
          </cell>
        </row>
        <row r="145">
          <cell r="A145" t="str">
            <v>伍跳</v>
          </cell>
          <cell r="E145" t="str">
            <v>外包</v>
          </cell>
          <cell r="F145" t="str">
            <v>外包</v>
          </cell>
        </row>
        <row r="146">
          <cell r="A146" t="str">
            <v>林锦春</v>
          </cell>
          <cell r="E146" t="str">
            <v>外包</v>
          </cell>
          <cell r="F146" t="str">
            <v>外包</v>
          </cell>
        </row>
        <row r="147">
          <cell r="A147" t="str">
            <v>谯云峰</v>
          </cell>
          <cell r="E147" t="str">
            <v>外包</v>
          </cell>
          <cell r="F147" t="str">
            <v>外包</v>
          </cell>
        </row>
        <row r="148">
          <cell r="A148" t="str">
            <v>肖胜文</v>
          </cell>
          <cell r="E148" t="str">
            <v>外包</v>
          </cell>
          <cell r="F148" t="str">
            <v>外包</v>
          </cell>
        </row>
        <row r="149">
          <cell r="A149" t="str">
            <v>葛志聪</v>
          </cell>
          <cell r="E149" t="str">
            <v>外包</v>
          </cell>
          <cell r="F149" t="str">
            <v>外包</v>
          </cell>
        </row>
        <row r="150">
          <cell r="A150" t="str">
            <v>刘浩鹏</v>
          </cell>
          <cell r="E150" t="str">
            <v>外包</v>
          </cell>
          <cell r="F150" t="str">
            <v>外包</v>
          </cell>
        </row>
        <row r="151">
          <cell r="A151" t="str">
            <v>凯颖</v>
          </cell>
          <cell r="E151" t="str">
            <v>外包</v>
          </cell>
          <cell r="F151" t="str">
            <v>外包</v>
          </cell>
        </row>
        <row r="152">
          <cell r="A152" t="str">
            <v>王鼎</v>
          </cell>
          <cell r="E152" t="str">
            <v>外包</v>
          </cell>
          <cell r="F152" t="str">
            <v>外包</v>
          </cell>
        </row>
        <row r="153">
          <cell r="A153" t="str">
            <v>彭雷</v>
          </cell>
          <cell r="E153" t="str">
            <v>外包</v>
          </cell>
          <cell r="F153" t="str">
            <v>外包</v>
          </cell>
        </row>
        <row r="154">
          <cell r="A154" t="str">
            <v>冯锦秋</v>
          </cell>
          <cell r="E154" t="str">
            <v>外包</v>
          </cell>
          <cell r="F154" t="str">
            <v>外包</v>
          </cell>
        </row>
        <row r="155">
          <cell r="A155" t="str">
            <v>高逸晨</v>
          </cell>
          <cell r="E155" t="str">
            <v>外包</v>
          </cell>
          <cell r="F155" t="str">
            <v>外包</v>
          </cell>
        </row>
        <row r="156">
          <cell r="A156" t="str">
            <v>钟丽婷</v>
          </cell>
          <cell r="E156" t="str">
            <v>外包</v>
          </cell>
          <cell r="F156" t="str">
            <v>外包</v>
          </cell>
        </row>
        <row r="157">
          <cell r="A157" t="str">
            <v>谢幸</v>
          </cell>
          <cell r="E157" t="str">
            <v>产研办公室</v>
          </cell>
        </row>
        <row r="158">
          <cell r="A158" t="str">
            <v>杨旭晋</v>
          </cell>
        </row>
        <row r="159">
          <cell r="A159" t="str">
            <v>熊浪</v>
          </cell>
          <cell r="E159" t="str">
            <v>华南业务一部</v>
          </cell>
        </row>
        <row r="160">
          <cell r="A160" t="str">
            <v>李雪辉</v>
          </cell>
          <cell r="E160" t="str">
            <v>华南开发一组</v>
          </cell>
        </row>
        <row r="161">
          <cell r="A161" t="str">
            <v>黄溢</v>
          </cell>
          <cell r="E161" t="str">
            <v>华南开发一组</v>
          </cell>
        </row>
        <row r="162">
          <cell r="A162" t="str">
            <v>陈婷婷</v>
          </cell>
          <cell r="E162" t="str">
            <v>智能中台规划部</v>
          </cell>
        </row>
        <row r="163">
          <cell r="A163" t="str">
            <v>龚浩</v>
          </cell>
          <cell r="E163" t="str">
            <v>BPM组</v>
          </cell>
        </row>
        <row r="164">
          <cell r="A164" t="str">
            <v>郑晓婷</v>
          </cell>
          <cell r="E164" t="str">
            <v>EKP18产品研发部</v>
          </cell>
        </row>
        <row r="165">
          <cell r="A165" t="str">
            <v>梁梓轩</v>
          </cell>
          <cell r="E165" t="str">
            <v>智能中台测试组</v>
          </cell>
        </row>
        <row r="166">
          <cell r="A166" t="str">
            <v>谢微</v>
          </cell>
          <cell r="E166" t="str">
            <v>产研办公室</v>
          </cell>
        </row>
        <row r="167">
          <cell r="A167" t="str">
            <v>杨太双</v>
          </cell>
          <cell r="E167" t="str">
            <v>智能中台体验组</v>
          </cell>
        </row>
        <row r="168">
          <cell r="A168" t="str">
            <v>刘水生</v>
          </cell>
          <cell r="E168" t="str">
            <v>EKP18产品研发部</v>
          </cell>
        </row>
        <row r="169">
          <cell r="A169" t="str">
            <v>屈高鹏</v>
          </cell>
          <cell r="E169" t="str">
            <v>产品研发中心</v>
          </cell>
        </row>
        <row r="170">
          <cell r="A170" t="str">
            <v>李嘉祥</v>
          </cell>
          <cell r="E170" t="str">
            <v>KK组</v>
          </cell>
        </row>
        <row r="171">
          <cell r="A171" t="str">
            <v>刘继想</v>
          </cell>
          <cell r="E171" t="str">
            <v>数据中台研发部</v>
          </cell>
        </row>
        <row r="172">
          <cell r="A172" t="str">
            <v>彭冯</v>
          </cell>
          <cell r="E172" t="str">
            <v>用户运营组</v>
          </cell>
        </row>
        <row r="173">
          <cell r="A173" t="str">
            <v>陈栋</v>
          </cell>
          <cell r="E173" t="str">
            <v>治理&amp;算法组</v>
          </cell>
        </row>
        <row r="174">
          <cell r="A174" t="str">
            <v>邱淏辰</v>
          </cell>
          <cell r="E174" t="str">
            <v>凌脑研发组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W195"/>
  <sheetViews>
    <sheetView tabSelected="1" workbookViewId="0">
      <selection activeCell="E197" sqref="E197"/>
    </sheetView>
  </sheetViews>
  <sheetFormatPr defaultRowHeight="13.5" x14ac:dyDescent="0.15"/>
  <cols>
    <col min="4" max="4" width="19.875" customWidth="1"/>
    <col min="5" max="5" width="19" customWidth="1"/>
    <col min="6" max="6" width="21" customWidth="1"/>
    <col min="8" max="8" width="18.5" customWidth="1"/>
    <col min="10" max="14" width="0" hidden="1" customWidth="1"/>
    <col min="19" max="19" width="15.125" customWidth="1"/>
    <col min="20" max="20" width="16.75" customWidth="1"/>
    <col min="22" max="22" width="24.125" customWidth="1"/>
  </cols>
  <sheetData>
    <row r="1" spans="1:2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3" x14ac:dyDescent="0.15">
      <c r="A2" t="s">
        <v>21</v>
      </c>
      <c r="B2">
        <v>22620652</v>
      </c>
      <c r="C2" t="s">
        <v>22</v>
      </c>
      <c r="D2" t="s">
        <v>23</v>
      </c>
      <c r="E2" t="s">
        <v>24</v>
      </c>
      <c r="I2" t="s">
        <v>25</v>
      </c>
      <c r="Q2" t="s">
        <v>26</v>
      </c>
      <c r="R2" t="s">
        <v>25</v>
      </c>
      <c r="S2" t="s">
        <v>27</v>
      </c>
      <c r="T2" t="s">
        <v>28</v>
      </c>
      <c r="V2" t="str">
        <f>_xlfn.XLOOKUP(A2,[1]花名册!$A:$A,[1]花名册!$E:$E)</f>
        <v>产研办公室</v>
      </c>
      <c r="W2">
        <f>_xlfn.XLOOKUP(A2,[1]花名册!$A:$A,[1]花名册!$F:$F)</f>
        <v>0</v>
      </c>
    </row>
    <row r="3" spans="1:23" hidden="1" x14ac:dyDescent="0.15">
      <c r="A3" t="s">
        <v>29</v>
      </c>
      <c r="B3">
        <v>11601804</v>
      </c>
      <c r="C3" t="s">
        <v>30</v>
      </c>
      <c r="D3" t="s">
        <v>23</v>
      </c>
      <c r="E3" t="s">
        <v>31</v>
      </c>
      <c r="F3" t="s">
        <v>32</v>
      </c>
      <c r="H3" t="s">
        <v>33</v>
      </c>
      <c r="I3" t="s">
        <v>34</v>
      </c>
      <c r="J3" t="s">
        <v>35</v>
      </c>
      <c r="K3" t="s">
        <v>36</v>
      </c>
      <c r="P3" t="s">
        <v>37</v>
      </c>
      <c r="Q3" t="s">
        <v>38</v>
      </c>
      <c r="R3" t="s">
        <v>34</v>
      </c>
      <c r="S3" t="s">
        <v>39</v>
      </c>
    </row>
    <row r="4" spans="1:23" hidden="1" x14ac:dyDescent="0.15">
      <c r="A4" t="s">
        <v>40</v>
      </c>
      <c r="B4">
        <v>11800889</v>
      </c>
      <c r="C4" t="s">
        <v>41</v>
      </c>
      <c r="D4" t="s">
        <v>23</v>
      </c>
      <c r="E4" t="s">
        <v>42</v>
      </c>
      <c r="F4" t="s">
        <v>43</v>
      </c>
      <c r="H4" t="s">
        <v>44</v>
      </c>
      <c r="I4" t="s">
        <v>34</v>
      </c>
      <c r="J4" t="s">
        <v>45</v>
      </c>
      <c r="P4" t="s">
        <v>37</v>
      </c>
      <c r="Q4" t="s">
        <v>38</v>
      </c>
      <c r="R4" t="s">
        <v>34</v>
      </c>
      <c r="S4" t="s">
        <v>46</v>
      </c>
    </row>
    <row r="5" spans="1:23" hidden="1" x14ac:dyDescent="0.15">
      <c r="A5" t="s">
        <v>47</v>
      </c>
      <c r="B5">
        <v>12103225</v>
      </c>
      <c r="C5" t="s">
        <v>41</v>
      </c>
      <c r="D5" t="s">
        <v>23</v>
      </c>
      <c r="E5" t="s">
        <v>31</v>
      </c>
      <c r="F5" t="s">
        <v>48</v>
      </c>
      <c r="H5" t="s">
        <v>48</v>
      </c>
      <c r="I5" t="s">
        <v>49</v>
      </c>
      <c r="J5" t="s">
        <v>50</v>
      </c>
      <c r="P5" t="s">
        <v>37</v>
      </c>
      <c r="Q5" t="s">
        <v>38</v>
      </c>
      <c r="R5" t="s">
        <v>49</v>
      </c>
      <c r="S5" t="s">
        <v>51</v>
      </c>
    </row>
    <row r="6" spans="1:23" hidden="1" x14ac:dyDescent="0.15">
      <c r="A6" t="s">
        <v>52</v>
      </c>
      <c r="B6">
        <v>11602031</v>
      </c>
      <c r="C6" t="s">
        <v>30</v>
      </c>
      <c r="D6" t="s">
        <v>23</v>
      </c>
      <c r="E6" t="s">
        <v>53</v>
      </c>
      <c r="F6" t="s">
        <v>54</v>
      </c>
      <c r="H6" t="s">
        <v>54</v>
      </c>
      <c r="I6" t="s">
        <v>34</v>
      </c>
      <c r="J6" t="s">
        <v>55</v>
      </c>
      <c r="P6" t="s">
        <v>37</v>
      </c>
      <c r="Q6" t="s">
        <v>38</v>
      </c>
      <c r="R6" t="s">
        <v>34</v>
      </c>
      <c r="S6" t="s">
        <v>56</v>
      </c>
    </row>
    <row r="7" spans="1:23" hidden="1" x14ac:dyDescent="0.15">
      <c r="A7" t="s">
        <v>57</v>
      </c>
      <c r="B7">
        <v>11902002</v>
      </c>
      <c r="C7" t="s">
        <v>58</v>
      </c>
      <c r="D7" t="s">
        <v>23</v>
      </c>
      <c r="E7" t="s">
        <v>31</v>
      </c>
      <c r="F7" t="s">
        <v>59</v>
      </c>
      <c r="H7" t="s">
        <v>59</v>
      </c>
      <c r="I7" t="s">
        <v>60</v>
      </c>
      <c r="P7" t="s">
        <v>37</v>
      </c>
      <c r="Q7" t="s">
        <v>38</v>
      </c>
      <c r="R7" t="s">
        <v>60</v>
      </c>
      <c r="S7" t="s">
        <v>61</v>
      </c>
    </row>
    <row r="8" spans="1:23" hidden="1" x14ac:dyDescent="0.15">
      <c r="A8" t="s">
        <v>62</v>
      </c>
      <c r="D8" t="s">
        <v>63</v>
      </c>
      <c r="E8" t="s">
        <v>523</v>
      </c>
      <c r="F8" t="s">
        <v>54</v>
      </c>
      <c r="H8" t="s">
        <v>54</v>
      </c>
      <c r="I8" t="s">
        <v>34</v>
      </c>
      <c r="J8" t="s">
        <v>65</v>
      </c>
      <c r="O8" t="s">
        <v>66</v>
      </c>
      <c r="P8" t="s">
        <v>67</v>
      </c>
      <c r="Q8" t="s">
        <v>64</v>
      </c>
      <c r="R8" t="s">
        <v>34</v>
      </c>
      <c r="S8" t="s">
        <v>68</v>
      </c>
      <c r="V8" t="str">
        <f>_xlfn.XLOOKUP(A8,[1]花名册!$A:$A,[1]花名册!$E:$E)</f>
        <v>外包</v>
      </c>
      <c r="W8" t="str">
        <f>_xlfn.XLOOKUP(A8,[1]花名册!$A:$A,[1]花名册!$F:$F)</f>
        <v>外包</v>
      </c>
    </row>
    <row r="9" spans="1:23" hidden="1" x14ac:dyDescent="0.15">
      <c r="A9" t="s">
        <v>69</v>
      </c>
      <c r="B9">
        <v>11901950</v>
      </c>
      <c r="C9" t="s">
        <v>70</v>
      </c>
      <c r="D9" t="s">
        <v>23</v>
      </c>
      <c r="E9" t="s">
        <v>31</v>
      </c>
      <c r="F9" t="s">
        <v>48</v>
      </c>
      <c r="H9" t="s">
        <v>48</v>
      </c>
      <c r="I9" t="s">
        <v>34</v>
      </c>
      <c r="J9" t="s">
        <v>50</v>
      </c>
      <c r="P9" t="s">
        <v>37</v>
      </c>
      <c r="Q9" t="s">
        <v>38</v>
      </c>
      <c r="R9" t="s">
        <v>34</v>
      </c>
      <c r="S9" t="s">
        <v>71</v>
      </c>
    </row>
    <row r="10" spans="1:23" hidden="1" x14ac:dyDescent="0.15">
      <c r="A10" t="s">
        <v>72</v>
      </c>
      <c r="B10">
        <v>12003977</v>
      </c>
      <c r="C10" t="s">
        <v>41</v>
      </c>
      <c r="D10" t="s">
        <v>23</v>
      </c>
      <c r="E10" t="s">
        <v>31</v>
      </c>
      <c r="F10" t="s">
        <v>73</v>
      </c>
      <c r="H10" t="s">
        <v>73</v>
      </c>
      <c r="I10" t="s">
        <v>49</v>
      </c>
      <c r="J10" t="s">
        <v>74</v>
      </c>
      <c r="K10" t="s">
        <v>75</v>
      </c>
      <c r="L10" t="s">
        <v>76</v>
      </c>
      <c r="M10" t="s">
        <v>77</v>
      </c>
      <c r="N10" t="s">
        <v>78</v>
      </c>
      <c r="P10" t="s">
        <v>37</v>
      </c>
      <c r="Q10" t="s">
        <v>38</v>
      </c>
      <c r="R10" t="s">
        <v>49</v>
      </c>
      <c r="S10" t="s">
        <v>79</v>
      </c>
    </row>
    <row r="11" spans="1:23" hidden="1" x14ac:dyDescent="0.15">
      <c r="A11" t="s">
        <v>80</v>
      </c>
      <c r="B11">
        <v>11602059</v>
      </c>
      <c r="C11" t="s">
        <v>81</v>
      </c>
      <c r="D11" t="s">
        <v>23</v>
      </c>
      <c r="E11" t="s">
        <v>82</v>
      </c>
      <c r="F11" t="s">
        <v>83</v>
      </c>
      <c r="G11" t="s">
        <v>84</v>
      </c>
      <c r="H11" t="s">
        <v>83</v>
      </c>
      <c r="I11" t="s">
        <v>85</v>
      </c>
      <c r="P11" t="s">
        <v>37</v>
      </c>
      <c r="Q11" t="s">
        <v>38</v>
      </c>
      <c r="R11" t="s">
        <v>85</v>
      </c>
      <c r="S11" t="s">
        <v>86</v>
      </c>
      <c r="V11" t="str">
        <f>_xlfn.XLOOKUP(A11,[1]花名册!$A:$A,[1]花名册!$E:$E)</f>
        <v>研发治理部</v>
      </c>
      <c r="W11" t="str">
        <f>_xlfn.XLOOKUP(A11,[1]花名册!$A:$A,[1]花名册!$F:$F)</f>
        <v>测试部</v>
      </c>
    </row>
    <row r="12" spans="1:23" hidden="1" x14ac:dyDescent="0.15">
      <c r="A12" t="s">
        <v>87</v>
      </c>
      <c r="B12">
        <v>12002519</v>
      </c>
      <c r="C12" t="s">
        <v>88</v>
      </c>
      <c r="D12" t="s">
        <v>23</v>
      </c>
      <c r="E12" t="s">
        <v>31</v>
      </c>
      <c r="F12" t="s">
        <v>48</v>
      </c>
      <c r="H12" t="s">
        <v>89</v>
      </c>
      <c r="I12" t="s">
        <v>49</v>
      </c>
      <c r="J12" t="s">
        <v>90</v>
      </c>
      <c r="P12" t="s">
        <v>37</v>
      </c>
      <c r="Q12" t="s">
        <v>38</v>
      </c>
      <c r="R12" t="s">
        <v>49</v>
      </c>
      <c r="S12" t="s">
        <v>91</v>
      </c>
    </row>
    <row r="13" spans="1:23" hidden="1" x14ac:dyDescent="0.15">
      <c r="A13" t="s">
        <v>92</v>
      </c>
      <c r="D13" t="s">
        <v>23</v>
      </c>
      <c r="E13" t="s">
        <v>527</v>
      </c>
      <c r="F13" t="s">
        <v>73</v>
      </c>
      <c r="I13" t="s">
        <v>34</v>
      </c>
      <c r="Q13" t="s">
        <v>26</v>
      </c>
      <c r="R13" t="s">
        <v>34</v>
      </c>
      <c r="S13" t="s">
        <v>93</v>
      </c>
      <c r="T13" t="s">
        <v>94</v>
      </c>
      <c r="V13" t="e">
        <f>_xlfn.XLOOKUP(A13,[1]花名册!$A:$A,[1]花名册!$E:$E)</f>
        <v>#N/A</v>
      </c>
      <c r="W13" t="e">
        <f>_xlfn.XLOOKUP(A13,[1]花名册!$A:$A,[1]花名册!$F:$F)</f>
        <v>#N/A</v>
      </c>
    </row>
    <row r="14" spans="1:23" hidden="1" x14ac:dyDescent="0.15">
      <c r="A14" t="s">
        <v>95</v>
      </c>
      <c r="D14" t="s">
        <v>63</v>
      </c>
      <c r="E14" t="s">
        <v>527</v>
      </c>
      <c r="F14" t="s">
        <v>32</v>
      </c>
      <c r="H14" t="s">
        <v>73</v>
      </c>
      <c r="I14" t="s">
        <v>49</v>
      </c>
      <c r="J14" t="s">
        <v>74</v>
      </c>
      <c r="K14" t="s">
        <v>75</v>
      </c>
      <c r="L14" t="s">
        <v>76</v>
      </c>
      <c r="M14" t="s">
        <v>77</v>
      </c>
      <c r="O14" t="s">
        <v>96</v>
      </c>
      <c r="P14" t="s">
        <v>67</v>
      </c>
      <c r="Q14" t="s">
        <v>64</v>
      </c>
      <c r="R14" t="s">
        <v>49</v>
      </c>
      <c r="S14" t="s">
        <v>97</v>
      </c>
      <c r="V14" t="str">
        <f>_xlfn.XLOOKUP(A14,[1]花名册!$A:$A,[1]花名册!$E:$E)</f>
        <v>外包</v>
      </c>
      <c r="W14" t="str">
        <f>_xlfn.XLOOKUP(A14,[1]花名册!$A:$A,[1]花名册!$F:$F)</f>
        <v>外包</v>
      </c>
    </row>
    <row r="15" spans="1:23" hidden="1" x14ac:dyDescent="0.15">
      <c r="A15" t="s">
        <v>98</v>
      </c>
      <c r="B15">
        <v>12320225</v>
      </c>
      <c r="C15" t="s">
        <v>99</v>
      </c>
      <c r="D15" t="s">
        <v>23</v>
      </c>
      <c r="E15" t="s">
        <v>31</v>
      </c>
      <c r="F15" t="s">
        <v>32</v>
      </c>
      <c r="H15" t="s">
        <v>100</v>
      </c>
      <c r="I15" t="s">
        <v>49</v>
      </c>
      <c r="J15" t="s">
        <v>74</v>
      </c>
      <c r="K15" t="s">
        <v>75</v>
      </c>
      <c r="L15" t="s">
        <v>76</v>
      </c>
      <c r="M15" t="s">
        <v>77</v>
      </c>
      <c r="P15" t="s">
        <v>37</v>
      </c>
      <c r="Q15" t="s">
        <v>38</v>
      </c>
      <c r="R15" t="s">
        <v>49</v>
      </c>
      <c r="S15" t="s">
        <v>101</v>
      </c>
    </row>
    <row r="16" spans="1:23" hidden="1" x14ac:dyDescent="0.15">
      <c r="A16" t="s">
        <v>102</v>
      </c>
      <c r="D16" t="s">
        <v>23</v>
      </c>
      <c r="I16" t="s">
        <v>103</v>
      </c>
      <c r="P16" t="s">
        <v>37</v>
      </c>
      <c r="Q16" t="s">
        <v>38</v>
      </c>
      <c r="R16" t="s">
        <v>103</v>
      </c>
      <c r="S16" t="s">
        <v>104</v>
      </c>
      <c r="U16" t="s">
        <v>105</v>
      </c>
      <c r="V16" t="e">
        <f>_xlfn.XLOOKUP(A16,[1]花名册!$A:$A,[1]花名册!$E:$E)</f>
        <v>#N/A</v>
      </c>
      <c r="W16" t="e">
        <f>_xlfn.XLOOKUP(A16,[1]花名册!$A:$A,[1]花名册!$F:$F)</f>
        <v>#N/A</v>
      </c>
    </row>
    <row r="17" spans="1:23" hidden="1" x14ac:dyDescent="0.15">
      <c r="A17" t="s">
        <v>106</v>
      </c>
      <c r="B17">
        <v>12103562</v>
      </c>
      <c r="C17" t="s">
        <v>107</v>
      </c>
      <c r="D17" t="s">
        <v>23</v>
      </c>
      <c r="E17" t="s">
        <v>108</v>
      </c>
      <c r="F17" t="s">
        <v>109</v>
      </c>
      <c r="H17" t="s">
        <v>109</v>
      </c>
      <c r="I17" t="s">
        <v>34</v>
      </c>
      <c r="J17" t="s">
        <v>74</v>
      </c>
      <c r="K17" t="s">
        <v>75</v>
      </c>
      <c r="L17" t="s">
        <v>76</v>
      </c>
      <c r="M17" t="s">
        <v>77</v>
      </c>
      <c r="N17" t="s">
        <v>110</v>
      </c>
      <c r="P17" t="s">
        <v>37</v>
      </c>
      <c r="Q17" t="s">
        <v>38</v>
      </c>
      <c r="R17" t="s">
        <v>34</v>
      </c>
      <c r="S17" t="s">
        <v>111</v>
      </c>
    </row>
    <row r="18" spans="1:23" hidden="1" x14ac:dyDescent="0.15">
      <c r="A18" t="s">
        <v>112</v>
      </c>
      <c r="B18">
        <v>12002525</v>
      </c>
      <c r="C18" t="s">
        <v>113</v>
      </c>
      <c r="D18" t="s">
        <v>23</v>
      </c>
      <c r="E18" t="s">
        <v>42</v>
      </c>
      <c r="F18" t="s">
        <v>43</v>
      </c>
      <c r="H18" t="s">
        <v>89</v>
      </c>
      <c r="I18" t="s">
        <v>49</v>
      </c>
      <c r="J18" t="s">
        <v>90</v>
      </c>
      <c r="P18" t="s">
        <v>37</v>
      </c>
      <c r="Q18" t="s">
        <v>38</v>
      </c>
      <c r="R18" t="s">
        <v>49</v>
      </c>
      <c r="S18" t="s">
        <v>114</v>
      </c>
    </row>
    <row r="19" spans="1:23" hidden="1" x14ac:dyDescent="0.15">
      <c r="A19" t="s">
        <v>115</v>
      </c>
      <c r="B19">
        <v>11902109</v>
      </c>
      <c r="C19" t="s">
        <v>107</v>
      </c>
      <c r="D19" t="s">
        <v>23</v>
      </c>
      <c r="E19" t="s">
        <v>42</v>
      </c>
      <c r="F19" t="s">
        <v>43</v>
      </c>
      <c r="H19" t="s">
        <v>44</v>
      </c>
      <c r="I19" t="s">
        <v>49</v>
      </c>
      <c r="J19" t="s">
        <v>45</v>
      </c>
      <c r="P19" t="s">
        <v>37</v>
      </c>
      <c r="Q19" t="s">
        <v>38</v>
      </c>
      <c r="R19" t="s">
        <v>49</v>
      </c>
      <c r="S19" t="s">
        <v>116</v>
      </c>
    </row>
    <row r="20" spans="1:23" hidden="1" x14ac:dyDescent="0.15">
      <c r="A20" t="s">
        <v>117</v>
      </c>
      <c r="B20">
        <v>12003764</v>
      </c>
      <c r="C20" t="s">
        <v>70</v>
      </c>
      <c r="D20" t="s">
        <v>23</v>
      </c>
      <c r="E20" t="s">
        <v>53</v>
      </c>
      <c r="F20" t="s">
        <v>118</v>
      </c>
      <c r="H20" t="s">
        <v>119</v>
      </c>
      <c r="I20" t="s">
        <v>120</v>
      </c>
      <c r="J20" t="s">
        <v>121</v>
      </c>
      <c r="P20" t="s">
        <v>37</v>
      </c>
      <c r="Q20" t="s">
        <v>38</v>
      </c>
      <c r="R20" t="s">
        <v>120</v>
      </c>
      <c r="S20" t="s">
        <v>122</v>
      </c>
    </row>
    <row r="21" spans="1:23" hidden="1" x14ac:dyDescent="0.15">
      <c r="A21" t="s">
        <v>123</v>
      </c>
      <c r="D21" t="s">
        <v>23</v>
      </c>
      <c r="E21" t="s">
        <v>522</v>
      </c>
      <c r="F21" t="s">
        <v>43</v>
      </c>
      <c r="I21" t="s">
        <v>34</v>
      </c>
      <c r="P21" t="s">
        <v>37</v>
      </c>
      <c r="Q21" t="s">
        <v>124</v>
      </c>
      <c r="R21" t="s">
        <v>34</v>
      </c>
      <c r="S21" t="s">
        <v>125</v>
      </c>
      <c r="V21" t="e">
        <f>_xlfn.XLOOKUP(A21,[1]花名册!$A:$A,[1]花名册!$E:$E)</f>
        <v>#N/A</v>
      </c>
      <c r="W21" t="e">
        <f>_xlfn.XLOOKUP(A21,[1]花名册!$A:$A,[1]花名册!$F:$F)</f>
        <v>#N/A</v>
      </c>
    </row>
    <row r="22" spans="1:23" hidden="1" x14ac:dyDescent="0.15">
      <c r="A22" t="s">
        <v>126</v>
      </c>
      <c r="D22" t="s">
        <v>23</v>
      </c>
      <c r="I22" t="s">
        <v>103</v>
      </c>
      <c r="P22" t="s">
        <v>37</v>
      </c>
      <c r="Q22" t="s">
        <v>38</v>
      </c>
      <c r="R22" t="s">
        <v>103</v>
      </c>
      <c r="S22" t="s">
        <v>127</v>
      </c>
      <c r="U22" t="s">
        <v>105</v>
      </c>
      <c r="V22" t="e">
        <f>_xlfn.XLOOKUP(A22,[1]花名册!$A:$A,[1]花名册!$E:$E)</f>
        <v>#N/A</v>
      </c>
      <c r="W22" t="e">
        <f>_xlfn.XLOOKUP(A22,[1]花名册!$A:$A,[1]花名册!$F:$F)</f>
        <v>#N/A</v>
      </c>
    </row>
    <row r="23" spans="1:23" hidden="1" x14ac:dyDescent="0.15">
      <c r="A23" t="s">
        <v>128</v>
      </c>
      <c r="B23">
        <v>12103399</v>
      </c>
      <c r="C23" t="s">
        <v>41</v>
      </c>
      <c r="D23" t="s">
        <v>23</v>
      </c>
      <c r="E23" t="s">
        <v>108</v>
      </c>
      <c r="F23" t="s">
        <v>129</v>
      </c>
      <c r="H23" t="s">
        <v>129</v>
      </c>
      <c r="I23" t="s">
        <v>34</v>
      </c>
      <c r="J23" t="s">
        <v>74</v>
      </c>
      <c r="K23" t="s">
        <v>75</v>
      </c>
      <c r="L23" t="s">
        <v>76</v>
      </c>
      <c r="M23" t="s">
        <v>77</v>
      </c>
      <c r="N23" t="s">
        <v>110</v>
      </c>
      <c r="P23" t="s">
        <v>37</v>
      </c>
      <c r="Q23" t="s">
        <v>38</v>
      </c>
      <c r="R23" t="s">
        <v>34</v>
      </c>
      <c r="S23" t="s">
        <v>130</v>
      </c>
    </row>
    <row r="24" spans="1:23" hidden="1" x14ac:dyDescent="0.15">
      <c r="A24" t="s">
        <v>131</v>
      </c>
      <c r="D24" t="s">
        <v>23</v>
      </c>
      <c r="E24" t="s">
        <v>521</v>
      </c>
      <c r="F24" t="s">
        <v>536</v>
      </c>
      <c r="I24" t="s">
        <v>49</v>
      </c>
      <c r="Q24" t="s">
        <v>26</v>
      </c>
      <c r="R24" t="s">
        <v>49</v>
      </c>
      <c r="S24" t="s">
        <v>79</v>
      </c>
      <c r="T24" t="s">
        <v>132</v>
      </c>
      <c r="V24" t="str">
        <f>_xlfn.XLOOKUP(A24,[1]花名册!$A:$A,[1]花名册!$E:$E)</f>
        <v>EKP18产品研发部</v>
      </c>
      <c r="W24">
        <f>_xlfn.XLOOKUP(A24,[1]花名册!$A:$A,[1]花名册!$F:$F)</f>
        <v>0</v>
      </c>
    </row>
    <row r="25" spans="1:23" hidden="1" x14ac:dyDescent="0.15">
      <c r="A25" t="s">
        <v>133</v>
      </c>
      <c r="D25" t="s">
        <v>63</v>
      </c>
      <c r="E25" t="s">
        <v>523</v>
      </c>
      <c r="F25" t="s">
        <v>54</v>
      </c>
      <c r="H25" t="s">
        <v>54</v>
      </c>
      <c r="I25" t="s">
        <v>49</v>
      </c>
      <c r="J25" t="s">
        <v>65</v>
      </c>
      <c r="O25" t="s">
        <v>134</v>
      </c>
      <c r="P25" t="s">
        <v>67</v>
      </c>
      <c r="Q25" t="s">
        <v>64</v>
      </c>
      <c r="R25" t="s">
        <v>49</v>
      </c>
      <c r="S25" t="s">
        <v>135</v>
      </c>
      <c r="V25" t="str">
        <f>_xlfn.XLOOKUP(A25,[1]花名册!$A:$A,[1]花名册!$E:$E)</f>
        <v>外包</v>
      </c>
      <c r="W25" t="str">
        <f>_xlfn.XLOOKUP(A25,[1]花名册!$A:$A,[1]花名册!$F:$F)</f>
        <v>外包</v>
      </c>
    </row>
    <row r="26" spans="1:23" hidden="1" x14ac:dyDescent="0.15">
      <c r="A26" t="s">
        <v>136</v>
      </c>
      <c r="D26" t="s">
        <v>23</v>
      </c>
      <c r="E26" t="s">
        <v>522</v>
      </c>
      <c r="F26" t="s">
        <v>535</v>
      </c>
      <c r="I26" t="s">
        <v>34</v>
      </c>
      <c r="Q26" t="s">
        <v>26</v>
      </c>
      <c r="R26" t="s">
        <v>34</v>
      </c>
      <c r="S26" t="s">
        <v>137</v>
      </c>
      <c r="T26" t="s">
        <v>138</v>
      </c>
      <c r="V26" t="str">
        <f>_xlfn.XLOOKUP(A26,[1]花名册!$A:$A,[1]花名册!$E:$E)</f>
        <v>数据中台研发部</v>
      </c>
      <c r="W26">
        <f>_xlfn.XLOOKUP(A26,[1]花名册!$A:$A,[1]花名册!$F:$F)</f>
        <v>0</v>
      </c>
    </row>
    <row r="27" spans="1:23" hidden="1" x14ac:dyDescent="0.15">
      <c r="A27" t="s">
        <v>139</v>
      </c>
      <c r="B27">
        <v>12003765</v>
      </c>
      <c r="C27" t="s">
        <v>81</v>
      </c>
      <c r="D27" t="s">
        <v>23</v>
      </c>
      <c r="E27" t="s">
        <v>82</v>
      </c>
      <c r="F27" t="s">
        <v>83</v>
      </c>
      <c r="G27" t="s">
        <v>140</v>
      </c>
      <c r="H27" t="s">
        <v>83</v>
      </c>
      <c r="I27" t="s">
        <v>85</v>
      </c>
      <c r="P27" t="s">
        <v>37</v>
      </c>
      <c r="Q27" t="s">
        <v>38</v>
      </c>
      <c r="R27" t="s">
        <v>85</v>
      </c>
      <c r="S27" t="s">
        <v>141</v>
      </c>
      <c r="V27" t="str">
        <f>_xlfn.XLOOKUP(A27,[1]花名册!$A:$A,[1]花名册!$E:$E)</f>
        <v>研发治理部</v>
      </c>
      <c r="W27" t="str">
        <f>_xlfn.XLOOKUP(A27,[1]花名册!$A:$A,[1]花名册!$F:$F)</f>
        <v>测试部</v>
      </c>
    </row>
    <row r="28" spans="1:23" x14ac:dyDescent="0.15">
      <c r="A28" t="s">
        <v>142</v>
      </c>
      <c r="B28">
        <v>12102503</v>
      </c>
      <c r="C28" t="s">
        <v>143</v>
      </c>
      <c r="D28" t="s">
        <v>23</v>
      </c>
      <c r="E28" t="s">
        <v>24</v>
      </c>
      <c r="I28" t="s">
        <v>25</v>
      </c>
      <c r="P28" t="s">
        <v>37</v>
      </c>
      <c r="Q28" t="s">
        <v>38</v>
      </c>
      <c r="R28" t="s">
        <v>25</v>
      </c>
      <c r="S28" t="s">
        <v>144</v>
      </c>
      <c r="V28" t="str">
        <f>_xlfn.XLOOKUP(A28,[1]花名册!$A:$A,[1]花名册!$E:$E)</f>
        <v>产研办公室</v>
      </c>
      <c r="W28">
        <f>_xlfn.XLOOKUP(A28,[1]花名册!$A:$A,[1]花名册!$F:$F)</f>
        <v>0</v>
      </c>
    </row>
    <row r="29" spans="1:23" hidden="1" x14ac:dyDescent="0.15">
      <c r="A29" t="s">
        <v>145</v>
      </c>
      <c r="B29">
        <v>12103434</v>
      </c>
      <c r="C29" t="s">
        <v>81</v>
      </c>
      <c r="D29" t="s">
        <v>23</v>
      </c>
      <c r="E29" t="s">
        <v>82</v>
      </c>
      <c r="F29" t="s">
        <v>83</v>
      </c>
      <c r="G29" t="s">
        <v>84</v>
      </c>
      <c r="H29" t="s">
        <v>83</v>
      </c>
      <c r="I29" t="s">
        <v>85</v>
      </c>
      <c r="P29" t="s">
        <v>37</v>
      </c>
      <c r="Q29" t="s">
        <v>38</v>
      </c>
      <c r="R29" t="s">
        <v>85</v>
      </c>
      <c r="S29" t="s">
        <v>146</v>
      </c>
      <c r="V29" t="str">
        <f>_xlfn.XLOOKUP(A29,[1]花名册!$A:$A,[1]花名册!$E:$E)</f>
        <v>研发治理部</v>
      </c>
      <c r="W29" t="str">
        <f>_xlfn.XLOOKUP(A29,[1]花名册!$A:$A,[1]花名册!$F:$F)</f>
        <v>测试部</v>
      </c>
    </row>
    <row r="30" spans="1:23" hidden="1" x14ac:dyDescent="0.15">
      <c r="A30" t="s">
        <v>147</v>
      </c>
      <c r="B30">
        <v>12003758</v>
      </c>
      <c r="C30" t="s">
        <v>81</v>
      </c>
      <c r="D30" t="s">
        <v>23</v>
      </c>
      <c r="E30" t="s">
        <v>82</v>
      </c>
      <c r="F30" t="s">
        <v>83</v>
      </c>
      <c r="G30" t="s">
        <v>84</v>
      </c>
      <c r="H30" t="s">
        <v>83</v>
      </c>
      <c r="I30" t="s">
        <v>85</v>
      </c>
      <c r="P30" t="s">
        <v>37</v>
      </c>
      <c r="Q30" t="s">
        <v>38</v>
      </c>
      <c r="R30" t="s">
        <v>85</v>
      </c>
      <c r="S30" t="s">
        <v>122</v>
      </c>
      <c r="V30" t="str">
        <f>_xlfn.XLOOKUP(A30,[1]花名册!$A:$A,[1]花名册!$E:$E)</f>
        <v>研发治理部</v>
      </c>
      <c r="W30" t="str">
        <f>_xlfn.XLOOKUP(A30,[1]花名册!$A:$A,[1]花名册!$F:$F)</f>
        <v>测试部</v>
      </c>
    </row>
    <row r="31" spans="1:23" hidden="1" x14ac:dyDescent="0.15">
      <c r="A31" t="s">
        <v>148</v>
      </c>
      <c r="B31">
        <v>12203778</v>
      </c>
      <c r="C31" t="s">
        <v>70</v>
      </c>
      <c r="D31" t="s">
        <v>23</v>
      </c>
      <c r="E31" t="s">
        <v>31</v>
      </c>
      <c r="F31" t="s">
        <v>48</v>
      </c>
      <c r="H31" t="s">
        <v>48</v>
      </c>
      <c r="I31" t="s">
        <v>49</v>
      </c>
      <c r="J31" t="s">
        <v>50</v>
      </c>
      <c r="P31" t="s">
        <v>37</v>
      </c>
      <c r="Q31" t="s">
        <v>38</v>
      </c>
      <c r="R31" t="s">
        <v>49</v>
      </c>
      <c r="S31" t="s">
        <v>149</v>
      </c>
    </row>
    <row r="32" spans="1:23" hidden="1" x14ac:dyDescent="0.15">
      <c r="A32" t="s">
        <v>150</v>
      </c>
      <c r="D32" t="s">
        <v>23</v>
      </c>
      <c r="I32" t="s">
        <v>103</v>
      </c>
      <c r="P32" t="s">
        <v>37</v>
      </c>
      <c r="Q32" t="s">
        <v>38</v>
      </c>
      <c r="R32" t="s">
        <v>103</v>
      </c>
      <c r="S32" t="s">
        <v>151</v>
      </c>
      <c r="U32" t="s">
        <v>105</v>
      </c>
      <c r="V32" t="e">
        <f>_xlfn.XLOOKUP(A32,[1]花名册!$A:$A,[1]花名册!$E:$E)</f>
        <v>#N/A</v>
      </c>
      <c r="W32" t="e">
        <f>_xlfn.XLOOKUP(A32,[1]花名册!$A:$A,[1]花名册!$F:$F)</f>
        <v>#N/A</v>
      </c>
    </row>
    <row r="33" spans="1:23" hidden="1" x14ac:dyDescent="0.15">
      <c r="A33" t="s">
        <v>152</v>
      </c>
      <c r="B33">
        <v>12203677</v>
      </c>
      <c r="C33" t="s">
        <v>153</v>
      </c>
      <c r="D33" t="s">
        <v>23</v>
      </c>
      <c r="E33" t="s">
        <v>53</v>
      </c>
      <c r="F33" t="s">
        <v>154</v>
      </c>
      <c r="H33" t="s">
        <v>154</v>
      </c>
      <c r="I33" t="s">
        <v>25</v>
      </c>
      <c r="P33" t="s">
        <v>37</v>
      </c>
      <c r="Q33" t="s">
        <v>38</v>
      </c>
      <c r="R33" t="s">
        <v>25</v>
      </c>
      <c r="S33" t="s">
        <v>155</v>
      </c>
    </row>
    <row r="34" spans="1:23" hidden="1" x14ac:dyDescent="0.15">
      <c r="A34" t="s">
        <v>156</v>
      </c>
      <c r="B34">
        <v>11000528</v>
      </c>
      <c r="C34" t="s">
        <v>30</v>
      </c>
      <c r="D34" t="s">
        <v>23</v>
      </c>
      <c r="E34" t="s">
        <v>108</v>
      </c>
      <c r="F34" t="s">
        <v>129</v>
      </c>
      <c r="H34" t="s">
        <v>129</v>
      </c>
      <c r="I34" t="s">
        <v>34</v>
      </c>
      <c r="P34" t="s">
        <v>37</v>
      </c>
      <c r="Q34" t="s">
        <v>38</v>
      </c>
      <c r="R34" t="s">
        <v>34</v>
      </c>
      <c r="S34" t="s">
        <v>157</v>
      </c>
    </row>
    <row r="35" spans="1:23" hidden="1" x14ac:dyDescent="0.15">
      <c r="A35" t="s">
        <v>158</v>
      </c>
      <c r="B35">
        <v>12203774</v>
      </c>
      <c r="C35" t="s">
        <v>159</v>
      </c>
      <c r="D35" t="s">
        <v>23</v>
      </c>
      <c r="E35" t="s">
        <v>108</v>
      </c>
      <c r="F35" t="s">
        <v>160</v>
      </c>
      <c r="H35" t="s">
        <v>160</v>
      </c>
      <c r="I35" t="s">
        <v>60</v>
      </c>
      <c r="P35" t="s">
        <v>37</v>
      </c>
      <c r="Q35" t="s">
        <v>38</v>
      </c>
      <c r="R35" t="s">
        <v>60</v>
      </c>
      <c r="S35" t="s">
        <v>161</v>
      </c>
    </row>
    <row r="36" spans="1:23" hidden="1" x14ac:dyDescent="0.15">
      <c r="A36" t="s">
        <v>162</v>
      </c>
      <c r="B36">
        <v>11301240</v>
      </c>
      <c r="C36" t="s">
        <v>163</v>
      </c>
      <c r="D36" t="s">
        <v>23</v>
      </c>
      <c r="E36" t="s">
        <v>31</v>
      </c>
      <c r="F36" t="s">
        <v>59</v>
      </c>
      <c r="H36" t="s">
        <v>59</v>
      </c>
      <c r="I36" t="s">
        <v>60</v>
      </c>
      <c r="P36" t="s">
        <v>37</v>
      </c>
      <c r="Q36" t="s">
        <v>38</v>
      </c>
      <c r="R36" t="s">
        <v>60</v>
      </c>
      <c r="S36" t="s">
        <v>164</v>
      </c>
    </row>
    <row r="37" spans="1:23" hidden="1" x14ac:dyDescent="0.15">
      <c r="A37" t="s">
        <v>165</v>
      </c>
      <c r="B37">
        <v>12103229</v>
      </c>
      <c r="C37" t="s">
        <v>81</v>
      </c>
      <c r="D37" t="s">
        <v>23</v>
      </c>
      <c r="E37" t="s">
        <v>82</v>
      </c>
      <c r="F37" t="s">
        <v>166</v>
      </c>
      <c r="H37" t="s">
        <v>166</v>
      </c>
      <c r="I37" t="s">
        <v>85</v>
      </c>
      <c r="P37" t="s">
        <v>37</v>
      </c>
      <c r="Q37" t="s">
        <v>38</v>
      </c>
      <c r="R37" t="s">
        <v>85</v>
      </c>
      <c r="S37" t="s">
        <v>167</v>
      </c>
      <c r="V37" t="str">
        <f>_xlfn.XLOOKUP(A37,[1]花名册!$A:$A,[1]花名册!$E:$E)</f>
        <v>研发治理部</v>
      </c>
      <c r="W37" t="str">
        <f>_xlfn.XLOOKUP(A37,[1]花名册!$A:$A,[1]花名册!$F:$F)</f>
        <v>效能提升组</v>
      </c>
    </row>
    <row r="38" spans="1:23" hidden="1" x14ac:dyDescent="0.15">
      <c r="A38" t="s">
        <v>168</v>
      </c>
      <c r="B38">
        <v>10900043</v>
      </c>
      <c r="C38" t="s">
        <v>41</v>
      </c>
      <c r="D38" t="s">
        <v>23</v>
      </c>
      <c r="E38" t="s">
        <v>82</v>
      </c>
      <c r="F38" t="s">
        <v>169</v>
      </c>
      <c r="H38" t="s">
        <v>169</v>
      </c>
      <c r="I38" t="s">
        <v>25</v>
      </c>
      <c r="P38" t="s">
        <v>37</v>
      </c>
      <c r="Q38" t="s">
        <v>38</v>
      </c>
      <c r="R38" t="s">
        <v>34</v>
      </c>
      <c r="S38" t="s">
        <v>170</v>
      </c>
      <c r="V38" t="str">
        <f>_xlfn.XLOOKUP(A38,[1]花名册!$A:$A,[1]花名册!$E:$E)</f>
        <v>研发治理部</v>
      </c>
      <c r="W38" t="str">
        <f>_xlfn.XLOOKUP(A38,[1]花名册!$A:$A,[1]花名册!$F:$F)</f>
        <v>配置管理组</v>
      </c>
    </row>
    <row r="39" spans="1:23" hidden="1" x14ac:dyDescent="0.15">
      <c r="A39" t="s">
        <v>171</v>
      </c>
      <c r="B39">
        <v>12002534</v>
      </c>
      <c r="C39" t="s">
        <v>41</v>
      </c>
      <c r="D39" t="s">
        <v>23</v>
      </c>
      <c r="E39" t="s">
        <v>53</v>
      </c>
      <c r="F39" t="s">
        <v>118</v>
      </c>
      <c r="H39" t="s">
        <v>172</v>
      </c>
      <c r="I39" t="s">
        <v>34</v>
      </c>
      <c r="J39" t="s">
        <v>173</v>
      </c>
      <c r="P39" t="s">
        <v>37</v>
      </c>
      <c r="Q39" t="s">
        <v>38</v>
      </c>
      <c r="R39" t="s">
        <v>34</v>
      </c>
      <c r="S39" t="s">
        <v>174</v>
      </c>
    </row>
    <row r="40" spans="1:23" hidden="1" x14ac:dyDescent="0.15">
      <c r="A40" t="s">
        <v>175</v>
      </c>
      <c r="B40">
        <v>11901951</v>
      </c>
      <c r="C40" t="s">
        <v>176</v>
      </c>
      <c r="D40" t="s">
        <v>23</v>
      </c>
      <c r="E40" t="s">
        <v>108</v>
      </c>
      <c r="F40" t="s">
        <v>177</v>
      </c>
      <c r="H40" t="s">
        <v>177</v>
      </c>
      <c r="I40" t="s">
        <v>178</v>
      </c>
      <c r="P40" t="s">
        <v>37</v>
      </c>
      <c r="Q40" t="s">
        <v>38</v>
      </c>
      <c r="R40" t="s">
        <v>178</v>
      </c>
      <c r="S40" t="s">
        <v>71</v>
      </c>
    </row>
    <row r="41" spans="1:23" hidden="1" x14ac:dyDescent="0.15">
      <c r="A41" t="s">
        <v>179</v>
      </c>
      <c r="B41">
        <v>22620670</v>
      </c>
      <c r="C41" t="s">
        <v>180</v>
      </c>
      <c r="D41" t="s">
        <v>23</v>
      </c>
      <c r="E41" t="s">
        <v>53</v>
      </c>
      <c r="F41" t="s">
        <v>154</v>
      </c>
      <c r="H41" t="s">
        <v>154</v>
      </c>
      <c r="I41" t="s">
        <v>25</v>
      </c>
      <c r="Q41" t="s">
        <v>26</v>
      </c>
      <c r="R41" t="s">
        <v>25</v>
      </c>
      <c r="S41" t="s">
        <v>181</v>
      </c>
      <c r="T41" t="s">
        <v>182</v>
      </c>
    </row>
    <row r="42" spans="1:23" hidden="1" x14ac:dyDescent="0.15">
      <c r="A42" t="s">
        <v>183</v>
      </c>
      <c r="B42">
        <v>11301248</v>
      </c>
      <c r="C42" t="s">
        <v>184</v>
      </c>
      <c r="D42" t="s">
        <v>23</v>
      </c>
      <c r="E42" t="s">
        <v>31</v>
      </c>
      <c r="F42" t="s">
        <v>48</v>
      </c>
      <c r="H42" t="s">
        <v>33</v>
      </c>
      <c r="I42" t="s">
        <v>49</v>
      </c>
      <c r="J42" t="s">
        <v>35</v>
      </c>
      <c r="P42" t="s">
        <v>37</v>
      </c>
      <c r="Q42" t="s">
        <v>38</v>
      </c>
      <c r="R42" t="s">
        <v>49</v>
      </c>
      <c r="S42" t="s">
        <v>185</v>
      </c>
    </row>
    <row r="43" spans="1:23" hidden="1" x14ac:dyDescent="0.15">
      <c r="A43" t="s">
        <v>186</v>
      </c>
      <c r="B43">
        <v>11601908</v>
      </c>
      <c r="C43" t="s">
        <v>187</v>
      </c>
      <c r="D43" t="s">
        <v>23</v>
      </c>
      <c r="E43" t="s">
        <v>31</v>
      </c>
      <c r="F43" t="s">
        <v>59</v>
      </c>
      <c r="H43" t="s">
        <v>59</v>
      </c>
      <c r="I43" t="s">
        <v>178</v>
      </c>
      <c r="P43" t="s">
        <v>37</v>
      </c>
      <c r="Q43" t="s">
        <v>38</v>
      </c>
      <c r="R43" t="s">
        <v>178</v>
      </c>
      <c r="S43" t="s">
        <v>188</v>
      </c>
    </row>
    <row r="44" spans="1:23" hidden="1" x14ac:dyDescent="0.15">
      <c r="A44" t="s">
        <v>189</v>
      </c>
      <c r="B44">
        <v>11902185</v>
      </c>
      <c r="C44" t="s">
        <v>107</v>
      </c>
      <c r="D44" t="s">
        <v>23</v>
      </c>
      <c r="E44" t="s">
        <v>42</v>
      </c>
      <c r="F44" t="s">
        <v>43</v>
      </c>
      <c r="H44" t="s">
        <v>44</v>
      </c>
      <c r="I44" t="s">
        <v>34</v>
      </c>
      <c r="J44" t="s">
        <v>45</v>
      </c>
      <c r="P44" t="s">
        <v>37</v>
      </c>
      <c r="Q44" t="s">
        <v>38</v>
      </c>
      <c r="R44" t="s">
        <v>34</v>
      </c>
      <c r="S44" t="s">
        <v>190</v>
      </c>
    </row>
    <row r="45" spans="1:23" hidden="1" x14ac:dyDescent="0.15">
      <c r="A45" t="s">
        <v>191</v>
      </c>
      <c r="B45">
        <v>12003967</v>
      </c>
      <c r="C45" t="s">
        <v>70</v>
      </c>
      <c r="D45" t="s">
        <v>23</v>
      </c>
      <c r="E45" t="s">
        <v>108</v>
      </c>
      <c r="F45" t="s">
        <v>129</v>
      </c>
      <c r="H45" t="s">
        <v>129</v>
      </c>
      <c r="I45" t="s">
        <v>34</v>
      </c>
      <c r="P45" t="s">
        <v>37</v>
      </c>
      <c r="Q45" t="s">
        <v>38</v>
      </c>
      <c r="R45" t="s">
        <v>34</v>
      </c>
      <c r="S45" t="s">
        <v>192</v>
      </c>
    </row>
    <row r="46" spans="1:23" hidden="1" x14ac:dyDescent="0.15">
      <c r="A46" t="s">
        <v>193</v>
      </c>
      <c r="B46">
        <v>12003990</v>
      </c>
      <c r="C46" t="s">
        <v>194</v>
      </c>
      <c r="D46" t="s">
        <v>23</v>
      </c>
      <c r="E46" t="s">
        <v>42</v>
      </c>
      <c r="F46" t="s">
        <v>43</v>
      </c>
      <c r="H46" t="s">
        <v>44</v>
      </c>
      <c r="I46" t="s">
        <v>34</v>
      </c>
      <c r="J46" t="s">
        <v>45</v>
      </c>
      <c r="P46" t="s">
        <v>37</v>
      </c>
      <c r="Q46" t="s">
        <v>38</v>
      </c>
      <c r="R46" t="s">
        <v>34</v>
      </c>
      <c r="S46" t="s">
        <v>195</v>
      </c>
    </row>
    <row r="47" spans="1:23" hidden="1" x14ac:dyDescent="0.15">
      <c r="A47" t="s">
        <v>196</v>
      </c>
      <c r="B47">
        <v>12003701</v>
      </c>
      <c r="C47" t="s">
        <v>159</v>
      </c>
      <c r="D47" t="s">
        <v>23</v>
      </c>
      <c r="E47" t="s">
        <v>108</v>
      </c>
      <c r="F47" t="s">
        <v>160</v>
      </c>
      <c r="H47" t="s">
        <v>160</v>
      </c>
      <c r="I47" t="s">
        <v>60</v>
      </c>
      <c r="P47" t="s">
        <v>37</v>
      </c>
      <c r="Q47" t="s">
        <v>38</v>
      </c>
      <c r="R47" t="s">
        <v>60</v>
      </c>
      <c r="S47" t="s">
        <v>197</v>
      </c>
    </row>
    <row r="48" spans="1:23" hidden="1" x14ac:dyDescent="0.15">
      <c r="A48" t="s">
        <v>198</v>
      </c>
      <c r="B48">
        <v>11301143</v>
      </c>
      <c r="C48" t="s">
        <v>199</v>
      </c>
      <c r="D48" t="s">
        <v>23</v>
      </c>
      <c r="E48" t="s">
        <v>82</v>
      </c>
      <c r="F48" t="s">
        <v>83</v>
      </c>
      <c r="G48" t="s">
        <v>140</v>
      </c>
      <c r="H48" t="s">
        <v>83</v>
      </c>
      <c r="I48" t="s">
        <v>85</v>
      </c>
      <c r="K48" t="s">
        <v>200</v>
      </c>
      <c r="P48" t="s">
        <v>37</v>
      </c>
      <c r="Q48" t="s">
        <v>38</v>
      </c>
      <c r="R48" t="s">
        <v>85</v>
      </c>
      <c r="S48" t="s">
        <v>201</v>
      </c>
      <c r="V48" t="str">
        <f>_xlfn.XLOOKUP(A48,[1]花名册!$A:$A,[1]花名册!$E:$E)</f>
        <v>研发治理部</v>
      </c>
      <c r="W48" t="str">
        <f>_xlfn.XLOOKUP(A48,[1]花名册!$A:$A,[1]花名册!$F:$F)</f>
        <v>测试部</v>
      </c>
    </row>
    <row r="49" spans="1:23" hidden="1" x14ac:dyDescent="0.15">
      <c r="A49" t="s">
        <v>202</v>
      </c>
      <c r="B49">
        <v>10900456</v>
      </c>
      <c r="C49" t="s">
        <v>203</v>
      </c>
      <c r="D49" t="s">
        <v>23</v>
      </c>
      <c r="E49" t="s">
        <v>82</v>
      </c>
      <c r="F49" t="s">
        <v>169</v>
      </c>
      <c r="H49" t="s">
        <v>169</v>
      </c>
      <c r="I49" t="s">
        <v>25</v>
      </c>
      <c r="P49" t="s">
        <v>37</v>
      </c>
      <c r="Q49" t="s">
        <v>38</v>
      </c>
      <c r="R49" t="s">
        <v>25</v>
      </c>
      <c r="S49" t="s">
        <v>204</v>
      </c>
      <c r="V49" t="str">
        <f>_xlfn.XLOOKUP(A49,[1]花名册!$A:$A,[1]花名册!$E:$E)</f>
        <v>研发治理部</v>
      </c>
      <c r="W49" t="str">
        <f>_xlfn.XLOOKUP(A49,[1]花名册!$A:$A,[1]花名册!$F:$F)</f>
        <v>配置管理组</v>
      </c>
    </row>
    <row r="50" spans="1:23" hidden="1" x14ac:dyDescent="0.15">
      <c r="A50" t="s">
        <v>205</v>
      </c>
      <c r="B50">
        <v>11100774</v>
      </c>
      <c r="C50" t="s">
        <v>206</v>
      </c>
      <c r="D50" t="s">
        <v>23</v>
      </c>
      <c r="E50" t="s">
        <v>53</v>
      </c>
      <c r="F50" t="s">
        <v>154</v>
      </c>
      <c r="H50" t="s">
        <v>154</v>
      </c>
      <c r="I50" t="s">
        <v>25</v>
      </c>
      <c r="P50" t="s">
        <v>37</v>
      </c>
      <c r="Q50" t="s">
        <v>38</v>
      </c>
      <c r="R50" t="s">
        <v>25</v>
      </c>
      <c r="S50" t="s">
        <v>104</v>
      </c>
    </row>
    <row r="51" spans="1:23" hidden="1" x14ac:dyDescent="0.15">
      <c r="A51" t="s">
        <v>207</v>
      </c>
      <c r="B51">
        <v>11601912</v>
      </c>
      <c r="C51" t="s">
        <v>70</v>
      </c>
      <c r="D51" t="s">
        <v>23</v>
      </c>
      <c r="E51" t="s">
        <v>53</v>
      </c>
      <c r="F51" t="s">
        <v>118</v>
      </c>
      <c r="H51" t="s">
        <v>119</v>
      </c>
      <c r="I51" t="s">
        <v>120</v>
      </c>
      <c r="J51" t="s">
        <v>121</v>
      </c>
      <c r="P51" t="s">
        <v>37</v>
      </c>
      <c r="Q51" t="s">
        <v>38</v>
      </c>
      <c r="R51" t="s">
        <v>120</v>
      </c>
      <c r="S51" t="s">
        <v>208</v>
      </c>
    </row>
    <row r="52" spans="1:23" hidden="1" x14ac:dyDescent="0.15">
      <c r="A52" t="s">
        <v>209</v>
      </c>
      <c r="D52" t="s">
        <v>23</v>
      </c>
      <c r="I52" t="s">
        <v>103</v>
      </c>
      <c r="P52" t="s">
        <v>37</v>
      </c>
      <c r="Q52" t="s">
        <v>38</v>
      </c>
      <c r="R52" t="s">
        <v>103</v>
      </c>
      <c r="S52" t="s">
        <v>210</v>
      </c>
      <c r="V52" t="str">
        <f>_xlfn.XLOOKUP(A52,[1]花名册!$A:$A,[1]花名册!$E:$E)</f>
        <v>产品研发中心</v>
      </c>
      <c r="W52">
        <f>_xlfn.XLOOKUP(A52,[1]花名册!$A:$A,[1]花名册!$F:$F)</f>
        <v>0</v>
      </c>
    </row>
    <row r="53" spans="1:23" hidden="1" x14ac:dyDescent="0.15">
      <c r="A53" t="s">
        <v>211</v>
      </c>
      <c r="B53">
        <v>22620706</v>
      </c>
      <c r="C53" t="s">
        <v>212</v>
      </c>
      <c r="D53" t="s">
        <v>23</v>
      </c>
      <c r="E53" t="s">
        <v>82</v>
      </c>
      <c r="F53" t="s">
        <v>83</v>
      </c>
      <c r="G53" t="s">
        <v>84</v>
      </c>
      <c r="H53" t="s">
        <v>83</v>
      </c>
      <c r="I53" t="s">
        <v>85</v>
      </c>
      <c r="P53" t="s">
        <v>37</v>
      </c>
      <c r="Q53" t="s">
        <v>124</v>
      </c>
      <c r="R53" t="s">
        <v>85</v>
      </c>
      <c r="S53" t="s">
        <v>213</v>
      </c>
      <c r="V53" t="str">
        <f>_xlfn.XLOOKUP(A53,[1]花名册!$A:$A,[1]花名册!$E:$E)</f>
        <v>研发治理部</v>
      </c>
      <c r="W53" t="str">
        <f>_xlfn.XLOOKUP(A53,[1]花名册!$A:$A,[1]花名册!$F:$F)</f>
        <v>测试部</v>
      </c>
    </row>
    <row r="54" spans="1:23" hidden="1" x14ac:dyDescent="0.15">
      <c r="A54" t="s">
        <v>214</v>
      </c>
      <c r="B54">
        <v>12003943</v>
      </c>
      <c r="C54" t="s">
        <v>215</v>
      </c>
      <c r="D54" t="s">
        <v>23</v>
      </c>
      <c r="E54" t="s">
        <v>31</v>
      </c>
      <c r="F54" t="s">
        <v>59</v>
      </c>
      <c r="H54" t="s">
        <v>59</v>
      </c>
      <c r="I54" t="s">
        <v>60</v>
      </c>
      <c r="P54" t="s">
        <v>37</v>
      </c>
      <c r="Q54" t="s">
        <v>38</v>
      </c>
      <c r="R54" t="s">
        <v>60</v>
      </c>
      <c r="S54" t="s">
        <v>216</v>
      </c>
    </row>
    <row r="55" spans="1:23" hidden="1" x14ac:dyDescent="0.15">
      <c r="A55" t="s">
        <v>217</v>
      </c>
      <c r="B55">
        <v>12520884</v>
      </c>
      <c r="C55" t="s">
        <v>218</v>
      </c>
      <c r="D55" t="s">
        <v>23</v>
      </c>
      <c r="E55" t="s">
        <v>31</v>
      </c>
      <c r="F55" t="s">
        <v>59</v>
      </c>
      <c r="H55" t="s">
        <v>59</v>
      </c>
      <c r="I55" t="s">
        <v>60</v>
      </c>
      <c r="P55" t="s">
        <v>37</v>
      </c>
      <c r="Q55" t="s">
        <v>38</v>
      </c>
      <c r="R55" t="s">
        <v>60</v>
      </c>
      <c r="S55" t="s">
        <v>219</v>
      </c>
    </row>
    <row r="56" spans="1:23" hidden="1" x14ac:dyDescent="0.15">
      <c r="A56" t="s">
        <v>220</v>
      </c>
      <c r="B56">
        <v>12420767</v>
      </c>
      <c r="C56" t="s">
        <v>113</v>
      </c>
      <c r="D56" t="s">
        <v>23</v>
      </c>
      <c r="E56" t="s">
        <v>31</v>
      </c>
      <c r="F56" t="s">
        <v>32</v>
      </c>
      <c r="H56" t="s">
        <v>100</v>
      </c>
      <c r="I56" t="s">
        <v>49</v>
      </c>
      <c r="J56" t="s">
        <v>74</v>
      </c>
      <c r="K56" t="s">
        <v>75</v>
      </c>
      <c r="L56" t="s">
        <v>76</v>
      </c>
      <c r="M56" t="s">
        <v>77</v>
      </c>
      <c r="P56" t="s">
        <v>37</v>
      </c>
      <c r="Q56" t="s">
        <v>38</v>
      </c>
      <c r="R56" t="s">
        <v>49</v>
      </c>
      <c r="S56" t="s">
        <v>221</v>
      </c>
    </row>
    <row r="57" spans="1:23" hidden="1" x14ac:dyDescent="0.15">
      <c r="A57" t="s">
        <v>222</v>
      </c>
      <c r="B57">
        <v>11902305</v>
      </c>
      <c r="C57" t="s">
        <v>81</v>
      </c>
      <c r="D57" t="s">
        <v>23</v>
      </c>
      <c r="E57" t="s">
        <v>82</v>
      </c>
      <c r="F57" t="s">
        <v>83</v>
      </c>
      <c r="G57" t="s">
        <v>140</v>
      </c>
      <c r="H57" t="s">
        <v>83</v>
      </c>
      <c r="I57" t="s">
        <v>85</v>
      </c>
      <c r="P57" t="s">
        <v>37</v>
      </c>
      <c r="Q57" t="s">
        <v>38</v>
      </c>
      <c r="R57" t="s">
        <v>85</v>
      </c>
      <c r="S57" t="s">
        <v>223</v>
      </c>
      <c r="V57" t="str">
        <f>_xlfn.XLOOKUP(A57,[1]花名册!$A:$A,[1]花名册!$E:$E)</f>
        <v>研发治理部</v>
      </c>
      <c r="W57" t="str">
        <f>_xlfn.XLOOKUP(A57,[1]花名册!$A:$A,[1]花名册!$F:$F)</f>
        <v>测试部</v>
      </c>
    </row>
    <row r="58" spans="1:23" hidden="1" x14ac:dyDescent="0.15">
      <c r="A58" t="s">
        <v>224</v>
      </c>
      <c r="B58">
        <v>11201506</v>
      </c>
      <c r="C58" t="s">
        <v>41</v>
      </c>
      <c r="D58" t="s">
        <v>23</v>
      </c>
      <c r="E58" t="s">
        <v>53</v>
      </c>
      <c r="F58" t="s">
        <v>118</v>
      </c>
      <c r="H58" t="s">
        <v>119</v>
      </c>
      <c r="I58" t="s">
        <v>120</v>
      </c>
      <c r="J58" t="s">
        <v>121</v>
      </c>
      <c r="P58" t="s">
        <v>37</v>
      </c>
      <c r="Q58" t="s">
        <v>38</v>
      </c>
      <c r="R58" t="s">
        <v>120</v>
      </c>
      <c r="S58" t="s">
        <v>225</v>
      </c>
    </row>
    <row r="59" spans="1:23" hidden="1" x14ac:dyDescent="0.15">
      <c r="A59" t="s">
        <v>226</v>
      </c>
      <c r="B59">
        <v>11401375</v>
      </c>
      <c r="C59" t="s">
        <v>41</v>
      </c>
      <c r="D59" t="s">
        <v>23</v>
      </c>
      <c r="E59" t="s">
        <v>108</v>
      </c>
      <c r="F59" t="s">
        <v>109</v>
      </c>
      <c r="H59" t="s">
        <v>109</v>
      </c>
      <c r="I59" t="s">
        <v>34</v>
      </c>
      <c r="J59" t="s">
        <v>74</v>
      </c>
      <c r="K59" t="s">
        <v>75</v>
      </c>
      <c r="L59" t="s">
        <v>76</v>
      </c>
      <c r="M59" t="s">
        <v>77</v>
      </c>
      <c r="P59" t="s">
        <v>37</v>
      </c>
      <c r="Q59" t="s">
        <v>38</v>
      </c>
      <c r="R59" t="s">
        <v>34</v>
      </c>
      <c r="S59" t="s">
        <v>227</v>
      </c>
    </row>
    <row r="60" spans="1:23" hidden="1" x14ac:dyDescent="0.15">
      <c r="A60" t="s">
        <v>228</v>
      </c>
      <c r="B60">
        <v>12103541</v>
      </c>
      <c r="C60" t="s">
        <v>70</v>
      </c>
      <c r="D60" t="s">
        <v>23</v>
      </c>
      <c r="E60" t="s">
        <v>31</v>
      </c>
      <c r="F60" t="s">
        <v>32</v>
      </c>
      <c r="H60" t="s">
        <v>100</v>
      </c>
      <c r="I60" t="s">
        <v>49</v>
      </c>
      <c r="J60" t="s">
        <v>74</v>
      </c>
      <c r="K60" t="s">
        <v>75</v>
      </c>
      <c r="L60" t="s">
        <v>76</v>
      </c>
      <c r="M60" t="s">
        <v>77</v>
      </c>
      <c r="P60" t="s">
        <v>37</v>
      </c>
      <c r="Q60" t="s">
        <v>38</v>
      </c>
      <c r="R60" t="s">
        <v>49</v>
      </c>
      <c r="S60" t="s">
        <v>229</v>
      </c>
    </row>
    <row r="61" spans="1:23" x14ac:dyDescent="0.15">
      <c r="A61" t="s">
        <v>230</v>
      </c>
      <c r="B61">
        <v>12203498</v>
      </c>
      <c r="C61" t="s">
        <v>231</v>
      </c>
      <c r="D61" t="s">
        <v>23</v>
      </c>
      <c r="E61" t="s">
        <v>24</v>
      </c>
      <c r="I61" t="s">
        <v>25</v>
      </c>
      <c r="P61" t="s">
        <v>37</v>
      </c>
      <c r="Q61" t="s">
        <v>38</v>
      </c>
      <c r="R61" t="s">
        <v>25</v>
      </c>
      <c r="S61" t="s">
        <v>232</v>
      </c>
      <c r="V61" t="str">
        <f>_xlfn.XLOOKUP(A61,[1]花名册!$A:$A,[1]花名册!$E:$E)</f>
        <v>产研办公室</v>
      </c>
      <c r="W61">
        <f>_xlfn.XLOOKUP(A61,[1]花名册!$A:$A,[1]花名册!$F:$F)</f>
        <v>0</v>
      </c>
    </row>
    <row r="62" spans="1:23" hidden="1" x14ac:dyDescent="0.15">
      <c r="A62" t="s">
        <v>233</v>
      </c>
      <c r="B62">
        <v>12003800</v>
      </c>
      <c r="C62" t="s">
        <v>99</v>
      </c>
      <c r="D62" t="s">
        <v>23</v>
      </c>
      <c r="E62" t="s">
        <v>53</v>
      </c>
      <c r="F62" t="s">
        <v>118</v>
      </c>
      <c r="H62" t="s">
        <v>172</v>
      </c>
      <c r="I62" t="s">
        <v>49</v>
      </c>
      <c r="J62" t="s">
        <v>173</v>
      </c>
      <c r="P62" t="s">
        <v>37</v>
      </c>
      <c r="Q62" t="s">
        <v>38</v>
      </c>
      <c r="R62" t="s">
        <v>49</v>
      </c>
      <c r="S62" t="s">
        <v>234</v>
      </c>
    </row>
    <row r="63" spans="1:23" hidden="1" x14ac:dyDescent="0.15">
      <c r="A63" t="s">
        <v>235</v>
      </c>
      <c r="B63">
        <v>11901237</v>
      </c>
      <c r="C63" t="s">
        <v>159</v>
      </c>
      <c r="D63" t="s">
        <v>23</v>
      </c>
      <c r="E63" t="s">
        <v>53</v>
      </c>
      <c r="F63" t="s">
        <v>236</v>
      </c>
      <c r="H63" t="s">
        <v>236</v>
      </c>
      <c r="I63" t="s">
        <v>60</v>
      </c>
      <c r="P63" t="s">
        <v>37</v>
      </c>
      <c r="Q63" t="s">
        <v>38</v>
      </c>
      <c r="R63" t="s">
        <v>60</v>
      </c>
      <c r="S63" t="s">
        <v>237</v>
      </c>
      <c r="T63" t="s">
        <v>182</v>
      </c>
    </row>
    <row r="64" spans="1:23" hidden="1" x14ac:dyDescent="0.15">
      <c r="A64" t="s">
        <v>238</v>
      </c>
      <c r="B64">
        <v>12420710</v>
      </c>
      <c r="C64" t="s">
        <v>239</v>
      </c>
      <c r="D64" t="s">
        <v>23</v>
      </c>
      <c r="E64" t="s">
        <v>82</v>
      </c>
      <c r="F64" t="s">
        <v>83</v>
      </c>
      <c r="G64" t="s">
        <v>84</v>
      </c>
      <c r="H64" t="s">
        <v>83</v>
      </c>
      <c r="I64" t="s">
        <v>85</v>
      </c>
      <c r="P64" t="s">
        <v>37</v>
      </c>
      <c r="Q64" t="s">
        <v>38</v>
      </c>
      <c r="R64" t="s">
        <v>85</v>
      </c>
      <c r="S64" t="s">
        <v>240</v>
      </c>
      <c r="V64" t="str">
        <f>_xlfn.XLOOKUP(A64,[1]花名册!$A:$A,[1]花名册!$E:$E)</f>
        <v>研发治理部</v>
      </c>
      <c r="W64" t="str">
        <f>_xlfn.XLOOKUP(A64,[1]花名册!$A:$A,[1]花名册!$F:$F)</f>
        <v>测试部</v>
      </c>
    </row>
    <row r="65" spans="1:23" hidden="1" x14ac:dyDescent="0.15">
      <c r="A65" t="s">
        <v>241</v>
      </c>
      <c r="B65">
        <v>11901286</v>
      </c>
      <c r="C65" t="s">
        <v>41</v>
      </c>
      <c r="D65" t="s">
        <v>23</v>
      </c>
      <c r="E65" t="s">
        <v>31</v>
      </c>
      <c r="F65" t="s">
        <v>48</v>
      </c>
      <c r="H65" t="s">
        <v>48</v>
      </c>
      <c r="I65" t="s">
        <v>34</v>
      </c>
      <c r="J65" t="s">
        <v>50</v>
      </c>
      <c r="P65" t="s">
        <v>37</v>
      </c>
      <c r="Q65" t="s">
        <v>38</v>
      </c>
      <c r="R65" t="s">
        <v>34</v>
      </c>
      <c r="S65" t="s">
        <v>242</v>
      </c>
    </row>
    <row r="66" spans="1:23" hidden="1" x14ac:dyDescent="0.15">
      <c r="A66" t="s">
        <v>243</v>
      </c>
      <c r="B66">
        <v>11902004</v>
      </c>
      <c r="C66" t="s">
        <v>70</v>
      </c>
      <c r="D66" t="s">
        <v>23</v>
      </c>
      <c r="E66" t="s">
        <v>31</v>
      </c>
      <c r="F66" t="s">
        <v>32</v>
      </c>
      <c r="H66" t="s">
        <v>33</v>
      </c>
      <c r="I66" t="s">
        <v>49</v>
      </c>
      <c r="J66" t="s">
        <v>35</v>
      </c>
      <c r="P66" t="s">
        <v>37</v>
      </c>
      <c r="Q66" t="s">
        <v>38</v>
      </c>
      <c r="R66" t="s">
        <v>49</v>
      </c>
      <c r="S66" t="s">
        <v>244</v>
      </c>
    </row>
    <row r="67" spans="1:23" hidden="1" x14ac:dyDescent="0.15">
      <c r="A67" t="s">
        <v>245</v>
      </c>
      <c r="B67">
        <v>12103380</v>
      </c>
      <c r="C67" t="s">
        <v>107</v>
      </c>
      <c r="D67" t="s">
        <v>23</v>
      </c>
      <c r="E67" t="s">
        <v>53</v>
      </c>
      <c r="F67" t="s">
        <v>54</v>
      </c>
      <c r="H67" t="s">
        <v>54</v>
      </c>
      <c r="I67" t="s">
        <v>34</v>
      </c>
      <c r="J67" t="s">
        <v>65</v>
      </c>
      <c r="P67" t="s">
        <v>37</v>
      </c>
      <c r="Q67" t="s">
        <v>38</v>
      </c>
      <c r="R67" t="s">
        <v>34</v>
      </c>
      <c r="S67" t="s">
        <v>246</v>
      </c>
    </row>
    <row r="68" spans="1:23" hidden="1" x14ac:dyDescent="0.15">
      <c r="A68" t="s">
        <v>247</v>
      </c>
      <c r="D68" t="s">
        <v>23</v>
      </c>
      <c r="E68" t="s">
        <v>24</v>
      </c>
      <c r="F68" t="s">
        <v>248</v>
      </c>
      <c r="I68" t="s">
        <v>25</v>
      </c>
      <c r="Q68" t="s">
        <v>26</v>
      </c>
      <c r="R68" t="s">
        <v>25</v>
      </c>
      <c r="S68" t="s">
        <v>249</v>
      </c>
      <c r="T68" t="s">
        <v>250</v>
      </c>
      <c r="V68" t="str">
        <f>_xlfn.XLOOKUP(A68,[1]花名册!$A:$A,[1]花名册!$E:$E)</f>
        <v>用户运营组</v>
      </c>
      <c r="W68">
        <f>_xlfn.XLOOKUP(A68,[1]花名册!$A:$A,[1]花名册!$F:$F)</f>
        <v>0</v>
      </c>
    </row>
    <row r="69" spans="1:23" hidden="1" x14ac:dyDescent="0.15">
      <c r="A69" t="s">
        <v>251</v>
      </c>
      <c r="D69" t="s">
        <v>63</v>
      </c>
      <c r="E69" t="s">
        <v>527</v>
      </c>
      <c r="F69" t="s">
        <v>48</v>
      </c>
      <c r="H69" t="s">
        <v>48</v>
      </c>
      <c r="I69" t="s">
        <v>49</v>
      </c>
      <c r="J69" t="s">
        <v>50</v>
      </c>
      <c r="O69" t="s">
        <v>252</v>
      </c>
      <c r="P69" t="s">
        <v>67</v>
      </c>
      <c r="Q69" t="s">
        <v>64</v>
      </c>
      <c r="R69" t="s">
        <v>49</v>
      </c>
      <c r="S69" s="4">
        <v>45658</v>
      </c>
      <c r="V69" t="str">
        <f>_xlfn.XLOOKUP(A69,[1]花名册!$A:$A,[1]花名册!$E:$E)</f>
        <v>外包</v>
      </c>
      <c r="W69" t="str">
        <f>_xlfn.XLOOKUP(A69,[1]花名册!$A:$A,[1]花名册!$F:$F)</f>
        <v>外包</v>
      </c>
    </row>
    <row r="70" spans="1:23" x14ac:dyDescent="0.15">
      <c r="A70" t="s">
        <v>253</v>
      </c>
      <c r="B70">
        <v>12620974</v>
      </c>
      <c r="C70" t="s">
        <v>254</v>
      </c>
      <c r="D70" t="s">
        <v>23</v>
      </c>
      <c r="E70" t="s">
        <v>255</v>
      </c>
      <c r="H70" t="s">
        <v>48</v>
      </c>
      <c r="I70" t="s">
        <v>34</v>
      </c>
      <c r="J70" t="s">
        <v>50</v>
      </c>
      <c r="P70" t="s">
        <v>37</v>
      </c>
      <c r="Q70" t="s">
        <v>256</v>
      </c>
      <c r="R70" t="s">
        <v>34</v>
      </c>
      <c r="S70" t="s">
        <v>257</v>
      </c>
    </row>
    <row r="71" spans="1:23" hidden="1" x14ac:dyDescent="0.15">
      <c r="A71" t="s">
        <v>258</v>
      </c>
      <c r="B71">
        <v>12003026</v>
      </c>
      <c r="C71" t="s">
        <v>70</v>
      </c>
      <c r="D71" t="s">
        <v>23</v>
      </c>
      <c r="E71" t="s">
        <v>108</v>
      </c>
      <c r="F71" t="s">
        <v>129</v>
      </c>
      <c r="H71" t="s">
        <v>129</v>
      </c>
      <c r="I71" t="s">
        <v>34</v>
      </c>
      <c r="P71" t="s">
        <v>37</v>
      </c>
      <c r="Q71" t="s">
        <v>38</v>
      </c>
      <c r="R71" t="s">
        <v>34</v>
      </c>
      <c r="S71" t="s">
        <v>259</v>
      </c>
    </row>
    <row r="72" spans="1:23" x14ac:dyDescent="0.15">
      <c r="A72" t="s">
        <v>260</v>
      </c>
      <c r="B72">
        <v>22620716</v>
      </c>
      <c r="C72" t="s">
        <v>22</v>
      </c>
      <c r="D72" t="s">
        <v>23</v>
      </c>
      <c r="E72" t="s">
        <v>24</v>
      </c>
      <c r="I72" t="s">
        <v>25</v>
      </c>
      <c r="P72" t="s">
        <v>37</v>
      </c>
      <c r="Q72" t="s">
        <v>124</v>
      </c>
      <c r="R72" t="s">
        <v>25</v>
      </c>
      <c r="S72" t="s">
        <v>261</v>
      </c>
      <c r="V72" t="str">
        <f>_xlfn.XLOOKUP(A72,[1]花名册!$A:$A,[1]花名册!$E:$E)</f>
        <v>产研办公室</v>
      </c>
      <c r="W72">
        <f>_xlfn.XLOOKUP(A72,[1]花名册!$A:$A,[1]花名册!$F:$F)</f>
        <v>0</v>
      </c>
    </row>
    <row r="73" spans="1:23" ht="15" customHeight="1" x14ac:dyDescent="0.15">
      <c r="A73" t="s">
        <v>262</v>
      </c>
      <c r="B73">
        <v>12620998</v>
      </c>
      <c r="C73" t="s">
        <v>263</v>
      </c>
      <c r="D73" t="s">
        <v>23</v>
      </c>
      <c r="E73" t="s">
        <v>255</v>
      </c>
      <c r="H73" t="s">
        <v>264</v>
      </c>
      <c r="I73" t="s">
        <v>34</v>
      </c>
      <c r="J73" t="s">
        <v>264</v>
      </c>
      <c r="P73" t="s">
        <v>37</v>
      </c>
      <c r="Q73" t="s">
        <v>256</v>
      </c>
      <c r="R73" t="s">
        <v>265</v>
      </c>
      <c r="S73" t="s">
        <v>266</v>
      </c>
    </row>
    <row r="74" spans="1:23" hidden="1" x14ac:dyDescent="0.15">
      <c r="A74" t="s">
        <v>267</v>
      </c>
      <c r="B74">
        <v>11201505</v>
      </c>
      <c r="C74" t="s">
        <v>194</v>
      </c>
      <c r="D74" t="s">
        <v>23</v>
      </c>
      <c r="E74" t="s">
        <v>53</v>
      </c>
      <c r="F74" t="s">
        <v>118</v>
      </c>
      <c r="H74" t="s">
        <v>119</v>
      </c>
      <c r="I74" t="s">
        <v>120</v>
      </c>
      <c r="J74" t="s">
        <v>121</v>
      </c>
      <c r="P74" t="s">
        <v>37</v>
      </c>
      <c r="Q74" t="s">
        <v>38</v>
      </c>
      <c r="R74" t="s">
        <v>120</v>
      </c>
      <c r="S74" t="s">
        <v>225</v>
      </c>
    </row>
    <row r="75" spans="1:23" hidden="1" x14ac:dyDescent="0.15">
      <c r="A75" t="s">
        <v>268</v>
      </c>
      <c r="D75" t="s">
        <v>23</v>
      </c>
      <c r="I75" t="s">
        <v>103</v>
      </c>
      <c r="P75" t="s">
        <v>37</v>
      </c>
      <c r="Q75" t="s">
        <v>38</v>
      </c>
      <c r="R75" t="s">
        <v>103</v>
      </c>
      <c r="S75" t="s">
        <v>269</v>
      </c>
      <c r="U75" t="s">
        <v>105</v>
      </c>
      <c r="V75" t="e">
        <f>_xlfn.XLOOKUP(A75,[1]花名册!$A:$A,[1]花名册!$E:$E)</f>
        <v>#N/A</v>
      </c>
      <c r="W75" t="e">
        <f>_xlfn.XLOOKUP(A75,[1]花名册!$A:$A,[1]花名册!$F:$F)</f>
        <v>#N/A</v>
      </c>
    </row>
    <row r="76" spans="1:23" x14ac:dyDescent="0.15">
      <c r="A76" t="s">
        <v>270</v>
      </c>
      <c r="B76">
        <v>11100778</v>
      </c>
      <c r="C76" t="s">
        <v>30</v>
      </c>
      <c r="D76" t="s">
        <v>23</v>
      </c>
      <c r="E76" t="s">
        <v>31</v>
      </c>
      <c r="H76" t="s">
        <v>33</v>
      </c>
      <c r="I76" t="s">
        <v>34</v>
      </c>
      <c r="J76" t="s">
        <v>35</v>
      </c>
      <c r="K76" t="s">
        <v>36</v>
      </c>
      <c r="P76" t="s">
        <v>37</v>
      </c>
      <c r="Q76" t="s">
        <v>38</v>
      </c>
      <c r="R76" t="s">
        <v>34</v>
      </c>
      <c r="S76" t="s">
        <v>271</v>
      </c>
    </row>
    <row r="77" spans="1:23" hidden="1" x14ac:dyDescent="0.15">
      <c r="A77" t="s">
        <v>272</v>
      </c>
      <c r="B77">
        <v>11501603</v>
      </c>
      <c r="C77" t="s">
        <v>231</v>
      </c>
      <c r="D77" t="s">
        <v>23</v>
      </c>
      <c r="E77" t="s">
        <v>82</v>
      </c>
      <c r="F77" t="s">
        <v>83</v>
      </c>
      <c r="G77" t="s">
        <v>84</v>
      </c>
      <c r="H77" t="s">
        <v>83</v>
      </c>
      <c r="I77" t="s">
        <v>85</v>
      </c>
      <c r="P77" t="s">
        <v>37</v>
      </c>
      <c r="Q77" t="s">
        <v>38</v>
      </c>
      <c r="R77" t="s">
        <v>85</v>
      </c>
      <c r="S77" t="s">
        <v>273</v>
      </c>
      <c r="V77" t="str">
        <f>_xlfn.XLOOKUP(A77,[1]花名册!$A:$A,[1]花名册!$E:$E)</f>
        <v>研发治理部</v>
      </c>
      <c r="W77" t="str">
        <f>_xlfn.XLOOKUP(A77,[1]花名册!$A:$A,[1]花名册!$F:$F)</f>
        <v>测试部</v>
      </c>
    </row>
    <row r="78" spans="1:23" hidden="1" x14ac:dyDescent="0.15">
      <c r="A78" t="s">
        <v>274</v>
      </c>
      <c r="B78">
        <v>12203835</v>
      </c>
      <c r="C78" t="s">
        <v>70</v>
      </c>
      <c r="D78" t="s">
        <v>23</v>
      </c>
      <c r="E78" t="s">
        <v>108</v>
      </c>
      <c r="F78" t="s">
        <v>129</v>
      </c>
      <c r="H78" t="s">
        <v>129</v>
      </c>
      <c r="I78" t="s">
        <v>49</v>
      </c>
      <c r="J78" t="s">
        <v>74</v>
      </c>
      <c r="K78" t="s">
        <v>75</v>
      </c>
      <c r="L78" t="s">
        <v>76</v>
      </c>
      <c r="M78" t="s">
        <v>77</v>
      </c>
      <c r="P78" t="s">
        <v>37</v>
      </c>
      <c r="Q78" t="s">
        <v>38</v>
      </c>
      <c r="R78" t="s">
        <v>49</v>
      </c>
      <c r="S78" t="s">
        <v>275</v>
      </c>
    </row>
    <row r="79" spans="1:23" hidden="1" x14ac:dyDescent="0.15">
      <c r="A79" t="s">
        <v>276</v>
      </c>
      <c r="B79">
        <v>22620687</v>
      </c>
      <c r="C79" t="s">
        <v>180</v>
      </c>
      <c r="D79" t="s">
        <v>23</v>
      </c>
      <c r="E79" t="s">
        <v>53</v>
      </c>
      <c r="F79" t="s">
        <v>154</v>
      </c>
      <c r="H79" t="s">
        <v>154</v>
      </c>
      <c r="I79" t="s">
        <v>25</v>
      </c>
      <c r="P79" t="s">
        <v>37</v>
      </c>
      <c r="Q79" t="s">
        <v>124</v>
      </c>
      <c r="R79" t="s">
        <v>25</v>
      </c>
      <c r="S79" t="s">
        <v>97</v>
      </c>
    </row>
    <row r="80" spans="1:23" hidden="1" x14ac:dyDescent="0.15">
      <c r="A80" t="s">
        <v>277</v>
      </c>
      <c r="B80">
        <v>12203692</v>
      </c>
      <c r="C80" t="s">
        <v>176</v>
      </c>
      <c r="D80" t="s">
        <v>23</v>
      </c>
      <c r="E80" t="s">
        <v>108</v>
      </c>
      <c r="F80" t="s">
        <v>177</v>
      </c>
      <c r="H80" t="s">
        <v>177</v>
      </c>
      <c r="I80" t="s">
        <v>178</v>
      </c>
      <c r="P80" t="s">
        <v>37</v>
      </c>
      <c r="Q80" t="s">
        <v>38</v>
      </c>
      <c r="R80" t="s">
        <v>178</v>
      </c>
      <c r="S80" t="s">
        <v>278</v>
      </c>
    </row>
    <row r="81" spans="1:23" ht="0.75" hidden="1" customHeight="1" x14ac:dyDescent="0.15">
      <c r="A81" t="s">
        <v>279</v>
      </c>
      <c r="C81" t="s">
        <v>64</v>
      </c>
      <c r="D81" t="s">
        <v>63</v>
      </c>
      <c r="E81" t="s">
        <v>523</v>
      </c>
      <c r="F81" t="s">
        <v>118</v>
      </c>
      <c r="H81" t="s">
        <v>532</v>
      </c>
      <c r="I81" t="s">
        <v>120</v>
      </c>
      <c r="O81" t="s">
        <v>280</v>
      </c>
      <c r="P81" t="s">
        <v>67</v>
      </c>
      <c r="Q81" t="s">
        <v>64</v>
      </c>
      <c r="R81" t="s">
        <v>120</v>
      </c>
      <c r="S81" t="s">
        <v>281</v>
      </c>
      <c r="T81" t="s">
        <v>94</v>
      </c>
      <c r="V81" t="str">
        <f>_xlfn.XLOOKUP(A81,[1]花名册!$A:$A,[1]花名册!$E:$E)</f>
        <v>KK组</v>
      </c>
      <c r="W81">
        <f>_xlfn.XLOOKUP(A81,[1]花名册!$A:$A,[1]花名册!$F:$F)</f>
        <v>0</v>
      </c>
    </row>
    <row r="82" spans="1:23" x14ac:dyDescent="0.15">
      <c r="A82" t="s">
        <v>282</v>
      </c>
      <c r="B82">
        <v>22620657</v>
      </c>
      <c r="C82" t="s">
        <v>283</v>
      </c>
      <c r="D82" t="s">
        <v>23</v>
      </c>
      <c r="E82" t="s">
        <v>24</v>
      </c>
      <c r="I82" t="s">
        <v>25</v>
      </c>
      <c r="O82" t="s">
        <v>284</v>
      </c>
      <c r="Q82" t="s">
        <v>26</v>
      </c>
      <c r="R82" t="s">
        <v>25</v>
      </c>
      <c r="S82" t="s">
        <v>285</v>
      </c>
      <c r="T82" t="s">
        <v>182</v>
      </c>
      <c r="U82" t="s">
        <v>105</v>
      </c>
      <c r="V82" t="str">
        <f>_xlfn.XLOOKUP(A82,[1]花名册!$A:$A,[1]花名册!$E:$E)</f>
        <v>产研办公室</v>
      </c>
      <c r="W82">
        <f>_xlfn.XLOOKUP(A82,[1]花名册!$A:$A,[1]花名册!$F:$F)</f>
        <v>0</v>
      </c>
    </row>
    <row r="83" spans="1:23" hidden="1" x14ac:dyDescent="0.15">
      <c r="A83" t="s">
        <v>286</v>
      </c>
      <c r="B83">
        <v>11901949</v>
      </c>
      <c r="C83" t="s">
        <v>30</v>
      </c>
      <c r="D83" t="s">
        <v>23</v>
      </c>
      <c r="E83" t="s">
        <v>31</v>
      </c>
      <c r="F83" t="s">
        <v>32</v>
      </c>
      <c r="H83" t="s">
        <v>33</v>
      </c>
      <c r="I83" t="s">
        <v>34</v>
      </c>
      <c r="J83" t="s">
        <v>35</v>
      </c>
      <c r="K83" t="s">
        <v>36</v>
      </c>
      <c r="P83" t="s">
        <v>37</v>
      </c>
      <c r="Q83" t="s">
        <v>38</v>
      </c>
      <c r="R83" t="s">
        <v>34</v>
      </c>
      <c r="S83" t="s">
        <v>71</v>
      </c>
    </row>
    <row r="84" spans="1:23" hidden="1" x14ac:dyDescent="0.15">
      <c r="A84" t="s">
        <v>287</v>
      </c>
      <c r="B84">
        <v>12520967</v>
      </c>
      <c r="C84" t="s">
        <v>288</v>
      </c>
      <c r="D84" t="s">
        <v>23</v>
      </c>
      <c r="E84" t="s">
        <v>42</v>
      </c>
      <c r="F84" t="s">
        <v>43</v>
      </c>
      <c r="H84" t="s">
        <v>89</v>
      </c>
      <c r="I84" t="s">
        <v>34</v>
      </c>
      <c r="J84" t="s">
        <v>90</v>
      </c>
      <c r="P84" t="s">
        <v>37</v>
      </c>
      <c r="Q84" t="s">
        <v>256</v>
      </c>
      <c r="R84" t="s">
        <v>34</v>
      </c>
      <c r="S84" t="s">
        <v>289</v>
      </c>
    </row>
    <row r="85" spans="1:23" hidden="1" x14ac:dyDescent="0.15">
      <c r="A85" t="s">
        <v>290</v>
      </c>
      <c r="B85">
        <v>12320326</v>
      </c>
      <c r="C85" t="s">
        <v>291</v>
      </c>
      <c r="D85" t="s">
        <v>23</v>
      </c>
      <c r="E85" t="s">
        <v>53</v>
      </c>
      <c r="F85" t="s">
        <v>54</v>
      </c>
      <c r="H85" t="s">
        <v>54</v>
      </c>
      <c r="I85" t="s">
        <v>49</v>
      </c>
      <c r="J85" t="s">
        <v>65</v>
      </c>
      <c r="P85" t="s">
        <v>37</v>
      </c>
      <c r="Q85" t="s">
        <v>38</v>
      </c>
      <c r="R85" t="s">
        <v>49</v>
      </c>
      <c r="S85" t="s">
        <v>292</v>
      </c>
    </row>
    <row r="86" spans="1:23" hidden="1" x14ac:dyDescent="0.15">
      <c r="A86" t="s">
        <v>293</v>
      </c>
      <c r="B86">
        <v>12103460</v>
      </c>
      <c r="C86" t="s">
        <v>294</v>
      </c>
      <c r="D86" t="s">
        <v>23</v>
      </c>
      <c r="E86" t="s">
        <v>108</v>
      </c>
      <c r="F86" t="s">
        <v>160</v>
      </c>
      <c r="H86" t="s">
        <v>160</v>
      </c>
      <c r="I86" t="s">
        <v>60</v>
      </c>
      <c r="P86" t="s">
        <v>37</v>
      </c>
      <c r="Q86" t="s">
        <v>38</v>
      </c>
      <c r="R86" t="s">
        <v>60</v>
      </c>
      <c r="S86" t="s">
        <v>295</v>
      </c>
    </row>
    <row r="87" spans="1:23" hidden="1" x14ac:dyDescent="0.15">
      <c r="A87" t="s">
        <v>296</v>
      </c>
      <c r="B87">
        <v>12103495</v>
      </c>
      <c r="C87" t="s">
        <v>297</v>
      </c>
      <c r="D87" t="s">
        <v>23</v>
      </c>
      <c r="E87" t="s">
        <v>53</v>
      </c>
      <c r="F87" t="s">
        <v>236</v>
      </c>
      <c r="H87" t="s">
        <v>236</v>
      </c>
      <c r="I87" t="s">
        <v>178</v>
      </c>
      <c r="P87" t="s">
        <v>37</v>
      </c>
      <c r="Q87" t="s">
        <v>38</v>
      </c>
      <c r="R87" t="s">
        <v>178</v>
      </c>
      <c r="S87" t="s">
        <v>298</v>
      </c>
    </row>
    <row r="88" spans="1:23" hidden="1" x14ac:dyDescent="0.15">
      <c r="A88" t="s">
        <v>299</v>
      </c>
      <c r="B88">
        <v>12103531</v>
      </c>
      <c r="C88" t="s">
        <v>81</v>
      </c>
      <c r="D88" t="s">
        <v>23</v>
      </c>
      <c r="E88" t="s">
        <v>82</v>
      </c>
      <c r="F88" t="s">
        <v>83</v>
      </c>
      <c r="G88" t="s">
        <v>140</v>
      </c>
      <c r="H88" t="s">
        <v>83</v>
      </c>
      <c r="I88" t="s">
        <v>85</v>
      </c>
      <c r="P88" t="s">
        <v>37</v>
      </c>
      <c r="Q88" t="s">
        <v>38</v>
      </c>
      <c r="R88" t="s">
        <v>85</v>
      </c>
      <c r="S88" t="s">
        <v>300</v>
      </c>
      <c r="V88" t="str">
        <f>_xlfn.XLOOKUP(A88,[1]花名册!$A:$A,[1]花名册!$E:$E)</f>
        <v>研发治理部</v>
      </c>
      <c r="W88" t="str">
        <f>_xlfn.XLOOKUP(A88,[1]花名册!$A:$A,[1]花名册!$F:$F)</f>
        <v>测试部</v>
      </c>
    </row>
    <row r="89" spans="1:23" hidden="1" x14ac:dyDescent="0.15">
      <c r="A89" t="s">
        <v>301</v>
      </c>
      <c r="B89">
        <v>12520919</v>
      </c>
      <c r="C89" t="s">
        <v>302</v>
      </c>
      <c r="D89" t="s">
        <v>23</v>
      </c>
      <c r="E89" t="s">
        <v>42</v>
      </c>
      <c r="F89" t="s">
        <v>43</v>
      </c>
      <c r="H89" t="s">
        <v>44</v>
      </c>
      <c r="I89" t="s">
        <v>34</v>
      </c>
      <c r="J89" t="s">
        <v>45</v>
      </c>
      <c r="P89" t="s">
        <v>37</v>
      </c>
      <c r="Q89" t="s">
        <v>38</v>
      </c>
      <c r="R89" t="s">
        <v>265</v>
      </c>
      <c r="S89" t="s">
        <v>303</v>
      </c>
      <c r="U89" t="s">
        <v>304</v>
      </c>
    </row>
    <row r="90" spans="1:23" hidden="1" x14ac:dyDescent="0.15">
      <c r="A90" t="s">
        <v>305</v>
      </c>
      <c r="D90" t="s">
        <v>23</v>
      </c>
      <c r="E90" t="s">
        <v>53</v>
      </c>
      <c r="F90" t="s">
        <v>154</v>
      </c>
      <c r="I90" t="s">
        <v>25</v>
      </c>
      <c r="P90" t="s">
        <v>37</v>
      </c>
      <c r="Q90" t="s">
        <v>124</v>
      </c>
      <c r="R90" t="s">
        <v>25</v>
      </c>
      <c r="S90" t="s">
        <v>125</v>
      </c>
      <c r="V90" t="e">
        <f>_xlfn.XLOOKUP(A90,[1]花名册!$A:$A,[1]花名册!$E:$E)</f>
        <v>#N/A</v>
      </c>
      <c r="W90" t="e">
        <f>_xlfn.XLOOKUP(A90,[1]花名册!$A:$A,[1]花名册!$F:$F)</f>
        <v>#N/A</v>
      </c>
    </row>
    <row r="91" spans="1:23" hidden="1" x14ac:dyDescent="0.15">
      <c r="A91" t="s">
        <v>306</v>
      </c>
      <c r="B91">
        <v>12002523</v>
      </c>
      <c r="C91" t="s">
        <v>307</v>
      </c>
      <c r="D91" t="s">
        <v>23</v>
      </c>
      <c r="E91" t="s">
        <v>53</v>
      </c>
      <c r="F91" t="s">
        <v>54</v>
      </c>
      <c r="H91" t="s">
        <v>54</v>
      </c>
      <c r="I91" t="s">
        <v>34</v>
      </c>
      <c r="J91" t="s">
        <v>65</v>
      </c>
      <c r="P91" t="s">
        <v>37</v>
      </c>
      <c r="Q91" t="s">
        <v>38</v>
      </c>
      <c r="R91" t="s">
        <v>34</v>
      </c>
      <c r="S91" t="s">
        <v>114</v>
      </c>
    </row>
    <row r="92" spans="1:23" hidden="1" x14ac:dyDescent="0.15">
      <c r="A92" t="s">
        <v>308</v>
      </c>
      <c r="D92" t="s">
        <v>23</v>
      </c>
      <c r="I92" t="s">
        <v>103</v>
      </c>
      <c r="P92" t="s">
        <v>37</v>
      </c>
      <c r="Q92" t="s">
        <v>38</v>
      </c>
      <c r="R92" t="s">
        <v>103</v>
      </c>
      <c r="S92" t="s">
        <v>309</v>
      </c>
      <c r="U92" t="s">
        <v>105</v>
      </c>
      <c r="V92" t="e">
        <f>_xlfn.XLOOKUP(A92,[1]花名册!$A:$A,[1]花名册!$E:$E)</f>
        <v>#N/A</v>
      </c>
      <c r="W92" t="e">
        <f>_xlfn.XLOOKUP(A92,[1]花名册!$A:$A,[1]花名册!$F:$F)</f>
        <v>#N/A</v>
      </c>
    </row>
    <row r="93" spans="1:23" hidden="1" x14ac:dyDescent="0.15">
      <c r="A93" t="s">
        <v>310</v>
      </c>
      <c r="C93" t="s">
        <v>64</v>
      </c>
      <c r="D93" t="s">
        <v>63</v>
      </c>
      <c r="E93" t="s">
        <v>31</v>
      </c>
      <c r="F93" t="s">
        <v>32</v>
      </c>
      <c r="H93" t="s">
        <v>48</v>
      </c>
      <c r="I93" t="s">
        <v>34</v>
      </c>
      <c r="P93" t="s">
        <v>67</v>
      </c>
      <c r="Q93" t="s">
        <v>64</v>
      </c>
      <c r="R93" t="s">
        <v>34</v>
      </c>
      <c r="S93" t="s">
        <v>97</v>
      </c>
      <c r="V93" t="str">
        <f>_xlfn.XLOOKUP(A93,[1]花名册!$A:$A,[1]花名册!$E:$E)</f>
        <v>华南开发一组</v>
      </c>
      <c r="W93">
        <f>_xlfn.XLOOKUP(A93,[1]花名册!$A:$A,[1]花名册!$F:$F)</f>
        <v>0</v>
      </c>
    </row>
    <row r="94" spans="1:23" hidden="1" x14ac:dyDescent="0.15">
      <c r="A94" t="s">
        <v>311</v>
      </c>
      <c r="D94" t="s">
        <v>23</v>
      </c>
      <c r="E94" t="s">
        <v>108</v>
      </c>
      <c r="F94" t="s">
        <v>177</v>
      </c>
      <c r="I94" t="s">
        <v>533</v>
      </c>
      <c r="Q94" t="s">
        <v>26</v>
      </c>
      <c r="R94" t="s">
        <v>312</v>
      </c>
      <c r="S94" t="s">
        <v>313</v>
      </c>
      <c r="T94" t="s">
        <v>314</v>
      </c>
      <c r="V94" t="str">
        <f>_xlfn.XLOOKUP(A94,[1]花名册!$A:$A,[1]花名册!$E:$E)</f>
        <v>智能中台体验组</v>
      </c>
      <c r="W94">
        <f>_xlfn.XLOOKUP(A94,[1]花名册!$A:$A,[1]花名册!$F:$F)</f>
        <v>0</v>
      </c>
    </row>
    <row r="95" spans="1:23" hidden="1" x14ac:dyDescent="0.15">
      <c r="A95" t="s">
        <v>315</v>
      </c>
      <c r="B95">
        <v>10500058</v>
      </c>
      <c r="C95" t="s">
        <v>316</v>
      </c>
      <c r="D95" t="s">
        <v>23</v>
      </c>
      <c r="E95" t="s">
        <v>82</v>
      </c>
      <c r="F95" t="s">
        <v>317</v>
      </c>
      <c r="H95" t="s">
        <v>317</v>
      </c>
      <c r="I95" t="s">
        <v>60</v>
      </c>
      <c r="P95" t="s">
        <v>37</v>
      </c>
      <c r="Q95" t="s">
        <v>38</v>
      </c>
      <c r="R95" t="s">
        <v>60</v>
      </c>
      <c r="S95" t="s">
        <v>318</v>
      </c>
      <c r="V95" t="str">
        <f>_xlfn.XLOOKUP(A95,[1]花名册!$A:$A,[1]花名册!$E:$E)</f>
        <v>研发治理部</v>
      </c>
      <c r="W95" t="str">
        <f>_xlfn.XLOOKUP(A95,[1]花名册!$A:$A,[1]花名册!$F:$F)</f>
        <v>三快支持组</v>
      </c>
    </row>
    <row r="96" spans="1:23" hidden="1" x14ac:dyDescent="0.15">
      <c r="A96" t="s">
        <v>319</v>
      </c>
      <c r="D96" t="s">
        <v>23</v>
      </c>
      <c r="E96" t="s">
        <v>53</v>
      </c>
      <c r="F96" t="s">
        <v>154</v>
      </c>
      <c r="I96" t="s">
        <v>25</v>
      </c>
      <c r="Q96" t="s">
        <v>26</v>
      </c>
      <c r="R96" t="s">
        <v>25</v>
      </c>
      <c r="S96" t="s">
        <v>320</v>
      </c>
      <c r="T96" t="s">
        <v>321</v>
      </c>
      <c r="V96" t="e">
        <f>_xlfn.XLOOKUP(A96,[1]花名册!$A:$A,[1]花名册!$E:$E)</f>
        <v>#N/A</v>
      </c>
      <c r="W96" t="e">
        <f>_xlfn.XLOOKUP(A96,[1]花名册!$A:$A,[1]花名册!$F:$F)</f>
        <v>#N/A</v>
      </c>
    </row>
    <row r="97" spans="1:23" hidden="1" x14ac:dyDescent="0.15">
      <c r="A97" t="s">
        <v>322</v>
      </c>
      <c r="B97">
        <v>12621001</v>
      </c>
      <c r="C97" t="s">
        <v>263</v>
      </c>
      <c r="D97" t="s">
        <v>23</v>
      </c>
      <c r="E97" t="s">
        <v>31</v>
      </c>
      <c r="F97" t="s">
        <v>48</v>
      </c>
      <c r="H97" t="s">
        <v>48</v>
      </c>
      <c r="I97" t="s">
        <v>34</v>
      </c>
      <c r="J97" t="s">
        <v>50</v>
      </c>
      <c r="P97" t="s">
        <v>37</v>
      </c>
      <c r="Q97" t="s">
        <v>256</v>
      </c>
      <c r="R97" t="s">
        <v>34</v>
      </c>
      <c r="S97" t="s">
        <v>323</v>
      </c>
    </row>
    <row r="98" spans="1:23" hidden="1" x14ac:dyDescent="0.15">
      <c r="A98" t="s">
        <v>324</v>
      </c>
      <c r="B98">
        <v>11800891</v>
      </c>
      <c r="C98" t="s">
        <v>30</v>
      </c>
      <c r="D98" t="s">
        <v>23</v>
      </c>
      <c r="E98" t="s">
        <v>42</v>
      </c>
      <c r="F98" t="s">
        <v>43</v>
      </c>
      <c r="H98" t="s">
        <v>89</v>
      </c>
      <c r="I98" t="s">
        <v>34</v>
      </c>
      <c r="J98" t="s">
        <v>90</v>
      </c>
      <c r="P98" t="s">
        <v>37</v>
      </c>
      <c r="Q98" t="s">
        <v>38</v>
      </c>
      <c r="R98" t="s">
        <v>34</v>
      </c>
      <c r="S98" t="s">
        <v>325</v>
      </c>
    </row>
    <row r="99" spans="1:23" hidden="1" x14ac:dyDescent="0.15">
      <c r="A99" t="s">
        <v>326</v>
      </c>
      <c r="B99">
        <v>12213815</v>
      </c>
      <c r="C99" t="s">
        <v>81</v>
      </c>
      <c r="D99" t="s">
        <v>23</v>
      </c>
      <c r="E99" t="s">
        <v>82</v>
      </c>
      <c r="F99" t="s">
        <v>83</v>
      </c>
      <c r="G99" t="s">
        <v>140</v>
      </c>
      <c r="H99" t="s">
        <v>83</v>
      </c>
      <c r="I99" t="s">
        <v>85</v>
      </c>
      <c r="P99" t="s">
        <v>37</v>
      </c>
      <c r="Q99" t="s">
        <v>38</v>
      </c>
      <c r="R99" t="s">
        <v>85</v>
      </c>
      <c r="S99" t="s">
        <v>327</v>
      </c>
      <c r="V99" t="str">
        <f>_xlfn.XLOOKUP(A99,[1]花名册!$A:$A,[1]花名册!$E:$E)</f>
        <v>研发治理部</v>
      </c>
      <c r="W99" t="str">
        <f>_xlfn.XLOOKUP(A99,[1]花名册!$A:$A,[1]花名册!$F:$F)</f>
        <v>测试部</v>
      </c>
    </row>
    <row r="100" spans="1:23" hidden="1" x14ac:dyDescent="0.15">
      <c r="A100" t="s">
        <v>328</v>
      </c>
      <c r="B100">
        <v>11501670</v>
      </c>
      <c r="C100" t="s">
        <v>30</v>
      </c>
      <c r="D100" t="s">
        <v>23</v>
      </c>
      <c r="E100" t="s">
        <v>31</v>
      </c>
      <c r="F100" t="s">
        <v>73</v>
      </c>
      <c r="H100" t="s">
        <v>73</v>
      </c>
      <c r="I100" t="s">
        <v>34</v>
      </c>
      <c r="J100" t="s">
        <v>74</v>
      </c>
      <c r="K100" t="s">
        <v>75</v>
      </c>
      <c r="L100" t="s">
        <v>76</v>
      </c>
      <c r="M100" t="s">
        <v>77</v>
      </c>
      <c r="P100" t="s">
        <v>37</v>
      </c>
      <c r="Q100" t="s">
        <v>38</v>
      </c>
      <c r="R100" t="s">
        <v>34</v>
      </c>
      <c r="S100" t="s">
        <v>329</v>
      </c>
    </row>
    <row r="101" spans="1:23" hidden="1" x14ac:dyDescent="0.15">
      <c r="A101" t="s">
        <v>330</v>
      </c>
      <c r="B101">
        <v>11401410</v>
      </c>
      <c r="C101" t="s">
        <v>41</v>
      </c>
      <c r="D101" t="s">
        <v>23</v>
      </c>
      <c r="E101" t="s">
        <v>53</v>
      </c>
      <c r="F101" t="s">
        <v>54</v>
      </c>
      <c r="H101" t="s">
        <v>54</v>
      </c>
      <c r="I101" t="s">
        <v>49</v>
      </c>
      <c r="J101" t="s">
        <v>173</v>
      </c>
      <c r="P101" t="s">
        <v>37</v>
      </c>
      <c r="Q101" t="s">
        <v>38</v>
      </c>
      <c r="R101" t="s">
        <v>49</v>
      </c>
      <c r="S101" t="s">
        <v>331</v>
      </c>
    </row>
    <row r="102" spans="1:23" hidden="1" x14ac:dyDescent="0.15">
      <c r="A102" t="s">
        <v>332</v>
      </c>
      <c r="B102">
        <v>12203733</v>
      </c>
      <c r="C102" t="s">
        <v>107</v>
      </c>
      <c r="D102" t="s">
        <v>23</v>
      </c>
      <c r="E102" t="s">
        <v>31</v>
      </c>
      <c r="F102" t="s">
        <v>73</v>
      </c>
      <c r="H102" t="s">
        <v>73</v>
      </c>
      <c r="I102" t="s">
        <v>34</v>
      </c>
      <c r="J102" t="s">
        <v>74</v>
      </c>
      <c r="K102" t="s">
        <v>75</v>
      </c>
      <c r="L102" t="s">
        <v>76</v>
      </c>
      <c r="M102" t="s">
        <v>77</v>
      </c>
      <c r="P102" t="s">
        <v>37</v>
      </c>
      <c r="Q102" t="s">
        <v>38</v>
      </c>
      <c r="R102" t="s">
        <v>34</v>
      </c>
      <c r="S102" t="s">
        <v>333</v>
      </c>
    </row>
    <row r="103" spans="1:23" hidden="1" x14ac:dyDescent="0.15">
      <c r="A103" t="s">
        <v>334</v>
      </c>
      <c r="D103" t="s">
        <v>23</v>
      </c>
      <c r="E103" t="s">
        <v>525</v>
      </c>
      <c r="F103" t="s">
        <v>524</v>
      </c>
      <c r="I103" t="s">
        <v>85</v>
      </c>
      <c r="Q103" t="s">
        <v>26</v>
      </c>
      <c r="R103" t="s">
        <v>85</v>
      </c>
      <c r="S103" t="s">
        <v>335</v>
      </c>
      <c r="T103" t="s">
        <v>321</v>
      </c>
      <c r="V103" t="str">
        <f>_xlfn.XLOOKUP(A103,[1]花名册!$A:$A,[1]花名册!$E:$E)</f>
        <v>智能中台测试组</v>
      </c>
      <c r="W103">
        <f>_xlfn.XLOOKUP(A103,[1]花名册!$A:$A,[1]花名册!$F:$F)</f>
        <v>0</v>
      </c>
    </row>
    <row r="104" spans="1:23" hidden="1" x14ac:dyDescent="0.15">
      <c r="A104" t="s">
        <v>336</v>
      </c>
      <c r="D104" t="s">
        <v>23</v>
      </c>
      <c r="E104" t="s">
        <v>527</v>
      </c>
      <c r="F104" t="s">
        <v>531</v>
      </c>
      <c r="I104" t="s">
        <v>34</v>
      </c>
      <c r="Q104" t="s">
        <v>26</v>
      </c>
      <c r="R104" t="s">
        <v>34</v>
      </c>
      <c r="S104" t="s">
        <v>337</v>
      </c>
      <c r="T104" t="s">
        <v>338</v>
      </c>
      <c r="V104" t="e">
        <f>_xlfn.XLOOKUP(A104,[1]花名册!$A:$A,[1]花名册!$E:$E)</f>
        <v>#N/A</v>
      </c>
      <c r="W104" t="e">
        <f>_xlfn.XLOOKUP(A104,[1]花名册!$A:$A,[1]花名册!$F:$F)</f>
        <v>#N/A</v>
      </c>
    </row>
    <row r="105" spans="1:23" hidden="1" x14ac:dyDescent="0.15">
      <c r="A105" t="s">
        <v>339</v>
      </c>
      <c r="B105">
        <v>11710134</v>
      </c>
      <c r="C105" t="s">
        <v>41</v>
      </c>
      <c r="D105" t="s">
        <v>23</v>
      </c>
      <c r="E105" t="s">
        <v>108</v>
      </c>
      <c r="F105" t="s">
        <v>129</v>
      </c>
      <c r="H105" t="s">
        <v>129</v>
      </c>
      <c r="I105" t="s">
        <v>34</v>
      </c>
      <c r="P105" t="s">
        <v>37</v>
      </c>
      <c r="Q105" t="s">
        <v>38</v>
      </c>
      <c r="R105" t="s">
        <v>34</v>
      </c>
      <c r="S105" t="s">
        <v>340</v>
      </c>
    </row>
    <row r="106" spans="1:23" hidden="1" x14ac:dyDescent="0.15">
      <c r="A106" t="s">
        <v>341</v>
      </c>
      <c r="B106">
        <v>12003974</v>
      </c>
      <c r="C106" t="s">
        <v>70</v>
      </c>
      <c r="D106" t="s">
        <v>23</v>
      </c>
      <c r="E106" t="s">
        <v>108</v>
      </c>
      <c r="F106" t="s">
        <v>129</v>
      </c>
      <c r="H106" t="s">
        <v>129</v>
      </c>
      <c r="I106" t="s">
        <v>34</v>
      </c>
      <c r="J106" t="s">
        <v>342</v>
      </c>
      <c r="P106" t="s">
        <v>37</v>
      </c>
      <c r="Q106" t="s">
        <v>38</v>
      </c>
      <c r="R106" t="s">
        <v>34</v>
      </c>
      <c r="S106" t="s">
        <v>343</v>
      </c>
    </row>
    <row r="107" spans="1:23" hidden="1" x14ac:dyDescent="0.15">
      <c r="A107" t="s">
        <v>344</v>
      </c>
      <c r="B107">
        <v>11901282</v>
      </c>
      <c r="C107" t="s">
        <v>30</v>
      </c>
      <c r="D107" t="s">
        <v>23</v>
      </c>
      <c r="E107" t="s">
        <v>108</v>
      </c>
      <c r="F107" t="s">
        <v>129</v>
      </c>
      <c r="H107" t="s">
        <v>129</v>
      </c>
      <c r="I107" t="s">
        <v>34</v>
      </c>
      <c r="P107" t="s">
        <v>37</v>
      </c>
      <c r="Q107" t="s">
        <v>38</v>
      </c>
      <c r="R107" t="s">
        <v>34</v>
      </c>
      <c r="S107" t="s">
        <v>345</v>
      </c>
    </row>
    <row r="108" spans="1:23" hidden="1" x14ac:dyDescent="0.15">
      <c r="A108" t="s">
        <v>346</v>
      </c>
      <c r="B108">
        <v>11100876</v>
      </c>
      <c r="C108" t="s">
        <v>184</v>
      </c>
      <c r="D108" t="s">
        <v>23</v>
      </c>
      <c r="E108" t="s">
        <v>31</v>
      </c>
      <c r="F108" t="s">
        <v>32</v>
      </c>
      <c r="H108" t="s">
        <v>33</v>
      </c>
      <c r="I108" t="s">
        <v>49</v>
      </c>
      <c r="J108" t="s">
        <v>35</v>
      </c>
      <c r="P108" t="s">
        <v>37</v>
      </c>
      <c r="Q108" t="s">
        <v>38</v>
      </c>
      <c r="R108" t="s">
        <v>49</v>
      </c>
      <c r="S108" t="s">
        <v>347</v>
      </c>
    </row>
    <row r="109" spans="1:23" hidden="1" x14ac:dyDescent="0.15">
      <c r="A109" t="s">
        <v>348</v>
      </c>
      <c r="B109">
        <v>12203684</v>
      </c>
      <c r="C109" t="s">
        <v>297</v>
      </c>
      <c r="D109" t="s">
        <v>23</v>
      </c>
      <c r="E109" t="s">
        <v>53</v>
      </c>
      <c r="F109" t="s">
        <v>236</v>
      </c>
      <c r="H109" t="s">
        <v>236</v>
      </c>
      <c r="I109" t="s">
        <v>178</v>
      </c>
      <c r="P109" t="s">
        <v>37</v>
      </c>
      <c r="Q109" t="s">
        <v>38</v>
      </c>
      <c r="R109" t="s">
        <v>178</v>
      </c>
      <c r="S109" t="s">
        <v>155</v>
      </c>
    </row>
    <row r="110" spans="1:23" hidden="1" x14ac:dyDescent="0.15">
      <c r="A110" t="s">
        <v>349</v>
      </c>
      <c r="B110">
        <v>11501718</v>
      </c>
      <c r="C110" t="s">
        <v>30</v>
      </c>
      <c r="D110" t="s">
        <v>23</v>
      </c>
      <c r="E110" t="s">
        <v>108</v>
      </c>
      <c r="F110" t="s">
        <v>129</v>
      </c>
      <c r="H110" t="s">
        <v>129</v>
      </c>
      <c r="I110" t="s">
        <v>34</v>
      </c>
      <c r="J110" t="s">
        <v>74</v>
      </c>
      <c r="K110" t="s">
        <v>75</v>
      </c>
      <c r="L110" t="s">
        <v>76</v>
      </c>
      <c r="M110" t="s">
        <v>77</v>
      </c>
      <c r="P110" t="s">
        <v>37</v>
      </c>
      <c r="Q110" t="s">
        <v>38</v>
      </c>
      <c r="R110" t="s">
        <v>34</v>
      </c>
      <c r="S110" t="s">
        <v>350</v>
      </c>
    </row>
    <row r="111" spans="1:23" hidden="1" x14ac:dyDescent="0.15">
      <c r="A111" t="s">
        <v>351</v>
      </c>
      <c r="B111">
        <v>12103436</v>
      </c>
      <c r="C111" t="s">
        <v>352</v>
      </c>
      <c r="D111" t="s">
        <v>23</v>
      </c>
      <c r="E111" t="s">
        <v>108</v>
      </c>
      <c r="F111" t="s">
        <v>177</v>
      </c>
      <c r="H111" t="s">
        <v>177</v>
      </c>
      <c r="I111" t="s">
        <v>178</v>
      </c>
      <c r="P111" t="s">
        <v>37</v>
      </c>
      <c r="Q111" t="s">
        <v>38</v>
      </c>
      <c r="R111" t="s">
        <v>178</v>
      </c>
      <c r="S111" t="s">
        <v>146</v>
      </c>
    </row>
    <row r="112" spans="1:23" hidden="1" x14ac:dyDescent="0.15">
      <c r="A112" t="s">
        <v>353</v>
      </c>
      <c r="B112">
        <v>12520808</v>
      </c>
      <c r="C112" t="s">
        <v>159</v>
      </c>
      <c r="D112" t="s">
        <v>23</v>
      </c>
      <c r="E112" t="s">
        <v>42</v>
      </c>
      <c r="F112" t="s">
        <v>354</v>
      </c>
      <c r="H112" t="s">
        <v>354</v>
      </c>
      <c r="I112" t="s">
        <v>60</v>
      </c>
      <c r="P112" t="s">
        <v>37</v>
      </c>
      <c r="Q112" t="s">
        <v>38</v>
      </c>
      <c r="R112" t="s">
        <v>60</v>
      </c>
      <c r="S112" t="s">
        <v>355</v>
      </c>
    </row>
    <row r="113" spans="1:23" hidden="1" x14ac:dyDescent="0.15">
      <c r="A113" t="s">
        <v>356</v>
      </c>
      <c r="B113">
        <v>12420609</v>
      </c>
      <c r="C113" t="s">
        <v>357</v>
      </c>
      <c r="D113" t="s">
        <v>23</v>
      </c>
      <c r="E113" t="s">
        <v>31</v>
      </c>
      <c r="F113" t="s">
        <v>73</v>
      </c>
      <c r="H113" t="s">
        <v>73</v>
      </c>
      <c r="I113" t="s">
        <v>34</v>
      </c>
      <c r="J113" t="s">
        <v>74</v>
      </c>
      <c r="K113" t="s">
        <v>75</v>
      </c>
      <c r="L113" t="s">
        <v>76</v>
      </c>
      <c r="M113" t="s">
        <v>77</v>
      </c>
      <c r="P113" t="s">
        <v>37</v>
      </c>
      <c r="Q113" t="s">
        <v>38</v>
      </c>
      <c r="R113" t="s">
        <v>34</v>
      </c>
      <c r="S113" t="s">
        <v>358</v>
      </c>
    </row>
    <row r="114" spans="1:23" hidden="1" x14ac:dyDescent="0.15">
      <c r="A114" t="s">
        <v>359</v>
      </c>
      <c r="B114">
        <v>12420597</v>
      </c>
      <c r="C114" t="s">
        <v>113</v>
      </c>
      <c r="D114" t="s">
        <v>23</v>
      </c>
      <c r="E114" t="s">
        <v>108</v>
      </c>
      <c r="F114" t="s">
        <v>109</v>
      </c>
      <c r="H114" t="s">
        <v>109</v>
      </c>
      <c r="I114" t="s">
        <v>49</v>
      </c>
      <c r="J114" t="s">
        <v>74</v>
      </c>
      <c r="K114" t="s">
        <v>75</v>
      </c>
      <c r="L114" t="s">
        <v>76</v>
      </c>
      <c r="M114" t="s">
        <v>77</v>
      </c>
      <c r="P114" t="s">
        <v>37</v>
      </c>
      <c r="Q114" t="s">
        <v>38</v>
      </c>
      <c r="R114" t="s">
        <v>49</v>
      </c>
      <c r="S114" t="s">
        <v>360</v>
      </c>
    </row>
    <row r="115" spans="1:23" hidden="1" x14ac:dyDescent="0.15">
      <c r="A115" t="s">
        <v>361</v>
      </c>
      <c r="B115">
        <v>11901278</v>
      </c>
      <c r="C115" t="s">
        <v>70</v>
      </c>
      <c r="D115" t="s">
        <v>23</v>
      </c>
      <c r="E115" t="s">
        <v>42</v>
      </c>
      <c r="F115" t="s">
        <v>43</v>
      </c>
      <c r="H115" t="s">
        <v>89</v>
      </c>
      <c r="I115" t="s">
        <v>34</v>
      </c>
      <c r="J115" t="s">
        <v>90</v>
      </c>
      <c r="P115" t="s">
        <v>37</v>
      </c>
      <c r="Q115" t="s">
        <v>38</v>
      </c>
      <c r="R115" t="s">
        <v>34</v>
      </c>
      <c r="S115" t="s">
        <v>362</v>
      </c>
    </row>
    <row r="116" spans="1:23" hidden="1" x14ac:dyDescent="0.15">
      <c r="A116" t="s">
        <v>363</v>
      </c>
      <c r="D116" t="s">
        <v>23</v>
      </c>
      <c r="I116" t="s">
        <v>103</v>
      </c>
      <c r="P116" t="s">
        <v>37</v>
      </c>
      <c r="Q116" t="s">
        <v>26</v>
      </c>
      <c r="R116" t="s">
        <v>103</v>
      </c>
      <c r="S116" t="s">
        <v>364</v>
      </c>
      <c r="T116" t="s">
        <v>182</v>
      </c>
      <c r="U116" t="s">
        <v>105</v>
      </c>
      <c r="V116" t="e">
        <f>_xlfn.XLOOKUP(A116,[1]花名册!$A:$A,[1]花名册!$E:$E)</f>
        <v>#N/A</v>
      </c>
      <c r="W116" t="e">
        <f>_xlfn.XLOOKUP(A116,[1]花名册!$A:$A,[1]花名册!$F:$F)</f>
        <v>#N/A</v>
      </c>
    </row>
    <row r="117" spans="1:23" hidden="1" x14ac:dyDescent="0.15">
      <c r="A117" t="s">
        <v>365</v>
      </c>
      <c r="B117">
        <v>11100768</v>
      </c>
      <c r="C117" t="s">
        <v>366</v>
      </c>
      <c r="D117" t="s">
        <v>23</v>
      </c>
      <c r="E117" t="s">
        <v>82</v>
      </c>
      <c r="F117" t="s">
        <v>166</v>
      </c>
      <c r="H117" t="s">
        <v>166</v>
      </c>
      <c r="I117" t="s">
        <v>25</v>
      </c>
      <c r="J117" t="s">
        <v>367</v>
      </c>
      <c r="P117" t="s">
        <v>37</v>
      </c>
      <c r="Q117" t="s">
        <v>38</v>
      </c>
      <c r="R117" t="s">
        <v>85</v>
      </c>
      <c r="S117" t="s">
        <v>368</v>
      </c>
      <c r="V117" t="str">
        <f>_xlfn.XLOOKUP(A117,[1]花名册!$A:$A,[1]花名册!$E:$E)</f>
        <v>研发治理部</v>
      </c>
      <c r="W117" t="str">
        <f>_xlfn.XLOOKUP(A117,[1]花名册!$A:$A,[1]花名册!$F:$F)</f>
        <v>效能提升组</v>
      </c>
    </row>
    <row r="118" spans="1:23" hidden="1" x14ac:dyDescent="0.15">
      <c r="A118" t="s">
        <v>369</v>
      </c>
      <c r="D118" t="s">
        <v>23</v>
      </c>
      <c r="I118" t="s">
        <v>103</v>
      </c>
      <c r="O118" t="s">
        <v>370</v>
      </c>
      <c r="Q118" t="s">
        <v>26</v>
      </c>
      <c r="R118" t="s">
        <v>103</v>
      </c>
      <c r="S118" t="s">
        <v>371</v>
      </c>
      <c r="T118" t="s">
        <v>138</v>
      </c>
      <c r="V118" t="e">
        <f>_xlfn.XLOOKUP(A118,[1]花名册!$A:$A,[1]花名册!$E:$E)</f>
        <v>#N/A</v>
      </c>
      <c r="W118" t="e">
        <f>_xlfn.XLOOKUP(A118,[1]花名册!$A:$A,[1]花名册!$F:$F)</f>
        <v>#N/A</v>
      </c>
    </row>
    <row r="119" spans="1:23" hidden="1" x14ac:dyDescent="0.15">
      <c r="A119" t="s">
        <v>372</v>
      </c>
      <c r="B119">
        <v>11201005</v>
      </c>
      <c r="C119" t="s">
        <v>30</v>
      </c>
      <c r="D119" t="s">
        <v>23</v>
      </c>
      <c r="E119" t="s">
        <v>108</v>
      </c>
      <c r="F119" t="s">
        <v>109</v>
      </c>
      <c r="H119" t="s">
        <v>109</v>
      </c>
      <c r="I119" t="s">
        <v>34</v>
      </c>
      <c r="J119" t="s">
        <v>74</v>
      </c>
      <c r="K119" t="s">
        <v>75</v>
      </c>
      <c r="L119" t="s">
        <v>76</v>
      </c>
      <c r="M119" t="s">
        <v>77</v>
      </c>
      <c r="P119" t="s">
        <v>37</v>
      </c>
      <c r="Q119" t="s">
        <v>38</v>
      </c>
      <c r="R119" t="s">
        <v>34</v>
      </c>
      <c r="S119" t="s">
        <v>373</v>
      </c>
    </row>
    <row r="120" spans="1:23" hidden="1" x14ac:dyDescent="0.15">
      <c r="A120" t="s">
        <v>374</v>
      </c>
      <c r="D120" t="s">
        <v>23</v>
      </c>
      <c r="E120" t="s">
        <v>525</v>
      </c>
      <c r="F120" t="s">
        <v>524</v>
      </c>
      <c r="I120" t="s">
        <v>85</v>
      </c>
      <c r="Q120" t="s">
        <v>26</v>
      </c>
      <c r="R120" t="s">
        <v>85</v>
      </c>
      <c r="S120" t="s">
        <v>375</v>
      </c>
      <c r="T120" t="s">
        <v>376</v>
      </c>
      <c r="V120" t="e">
        <f>_xlfn.XLOOKUP(A120,[1]花名册!$A:$A,[1]花名册!$E:$E)</f>
        <v>#N/A</v>
      </c>
      <c r="W120" t="e">
        <f>_xlfn.XLOOKUP(A120,[1]花名册!$A:$A,[1]花名册!$F:$F)</f>
        <v>#N/A</v>
      </c>
    </row>
    <row r="121" spans="1:23" hidden="1" x14ac:dyDescent="0.15">
      <c r="A121" t="s">
        <v>377</v>
      </c>
      <c r="B121">
        <v>12203722</v>
      </c>
      <c r="C121" t="s">
        <v>88</v>
      </c>
      <c r="D121" t="s">
        <v>23</v>
      </c>
      <c r="E121" t="s">
        <v>31</v>
      </c>
      <c r="F121" t="s">
        <v>32</v>
      </c>
      <c r="H121" t="s">
        <v>100</v>
      </c>
      <c r="I121" t="s">
        <v>49</v>
      </c>
      <c r="J121" t="s">
        <v>74</v>
      </c>
      <c r="K121" t="s">
        <v>75</v>
      </c>
      <c r="L121" t="s">
        <v>76</v>
      </c>
      <c r="M121" t="s">
        <v>77</v>
      </c>
      <c r="P121" t="s">
        <v>37</v>
      </c>
      <c r="Q121" t="s">
        <v>38</v>
      </c>
      <c r="R121" t="s">
        <v>49</v>
      </c>
      <c r="S121" t="s">
        <v>378</v>
      </c>
    </row>
    <row r="122" spans="1:23" hidden="1" x14ac:dyDescent="0.15">
      <c r="A122" t="s">
        <v>379</v>
      </c>
      <c r="B122">
        <v>12420802</v>
      </c>
      <c r="C122" t="s">
        <v>380</v>
      </c>
      <c r="D122" t="s">
        <v>23</v>
      </c>
      <c r="E122" t="s">
        <v>53</v>
      </c>
      <c r="F122" t="s">
        <v>154</v>
      </c>
      <c r="H122" t="s">
        <v>154</v>
      </c>
      <c r="I122" t="s">
        <v>25</v>
      </c>
      <c r="P122" t="s">
        <v>37</v>
      </c>
      <c r="Q122" t="s">
        <v>38</v>
      </c>
      <c r="R122" t="s">
        <v>34</v>
      </c>
      <c r="S122" t="s">
        <v>381</v>
      </c>
    </row>
    <row r="123" spans="1:23" hidden="1" x14ac:dyDescent="0.15">
      <c r="A123" t="s">
        <v>382</v>
      </c>
      <c r="B123">
        <v>11700937</v>
      </c>
      <c r="C123" t="s">
        <v>70</v>
      </c>
      <c r="D123" t="s">
        <v>23</v>
      </c>
      <c r="E123" t="s">
        <v>108</v>
      </c>
      <c r="F123" t="s">
        <v>129</v>
      </c>
      <c r="H123" t="s">
        <v>129</v>
      </c>
      <c r="I123" t="s">
        <v>34</v>
      </c>
      <c r="P123" t="s">
        <v>37</v>
      </c>
      <c r="Q123" t="s">
        <v>38</v>
      </c>
      <c r="R123" t="s">
        <v>34</v>
      </c>
      <c r="S123" t="s">
        <v>383</v>
      </c>
    </row>
    <row r="124" spans="1:23" hidden="1" x14ac:dyDescent="0.15">
      <c r="A124" t="s">
        <v>384</v>
      </c>
      <c r="D124" t="s">
        <v>63</v>
      </c>
      <c r="E124" t="s">
        <v>527</v>
      </c>
      <c r="F124" t="s">
        <v>48</v>
      </c>
      <c r="H124" t="s">
        <v>526</v>
      </c>
      <c r="I124" t="s">
        <v>49</v>
      </c>
      <c r="J124" t="s">
        <v>50</v>
      </c>
      <c r="O124" t="s">
        <v>385</v>
      </c>
      <c r="P124" t="s">
        <v>67</v>
      </c>
      <c r="Q124" t="s">
        <v>64</v>
      </c>
      <c r="R124" t="s">
        <v>49</v>
      </c>
      <c r="S124" t="s">
        <v>97</v>
      </c>
      <c r="V124" t="str">
        <f>_xlfn.XLOOKUP(A124,[1]花名册!$A:$A,[1]花名册!$E:$E)</f>
        <v>外包</v>
      </c>
      <c r="W124" t="str">
        <f>_xlfn.XLOOKUP(A124,[1]花名册!$A:$A,[1]花名册!$F:$F)</f>
        <v>外包</v>
      </c>
    </row>
    <row r="125" spans="1:23" x14ac:dyDescent="0.15">
      <c r="A125" t="s">
        <v>386</v>
      </c>
      <c r="D125" t="s">
        <v>23</v>
      </c>
      <c r="E125" t="s">
        <v>529</v>
      </c>
      <c r="I125" t="s">
        <v>25</v>
      </c>
      <c r="Q125" t="s">
        <v>26</v>
      </c>
      <c r="R125" t="s">
        <v>25</v>
      </c>
      <c r="S125" t="s">
        <v>387</v>
      </c>
      <c r="T125" t="s">
        <v>285</v>
      </c>
      <c r="U125" t="s">
        <v>105</v>
      </c>
      <c r="V125" t="e">
        <f>_xlfn.XLOOKUP(A125,[1]花名册!$A:$A,[1]花名册!$E:$E)</f>
        <v>#N/A</v>
      </c>
      <c r="W125" t="e">
        <f>_xlfn.XLOOKUP(A125,[1]花名册!$A:$A,[1]花名册!$F:$F)</f>
        <v>#N/A</v>
      </c>
    </row>
    <row r="126" spans="1:23" hidden="1" x14ac:dyDescent="0.15">
      <c r="A126" t="s">
        <v>388</v>
      </c>
      <c r="B126">
        <v>11401341</v>
      </c>
      <c r="C126" t="s">
        <v>254</v>
      </c>
      <c r="D126" t="s">
        <v>23</v>
      </c>
      <c r="E126" t="s">
        <v>42</v>
      </c>
      <c r="F126" t="s">
        <v>43</v>
      </c>
      <c r="H126" t="s">
        <v>44</v>
      </c>
      <c r="I126" t="s">
        <v>34</v>
      </c>
      <c r="J126" t="s">
        <v>45</v>
      </c>
      <c r="P126" t="s">
        <v>37</v>
      </c>
      <c r="Q126" t="s">
        <v>38</v>
      </c>
      <c r="R126" t="s">
        <v>34</v>
      </c>
      <c r="S126" t="s">
        <v>389</v>
      </c>
    </row>
    <row r="127" spans="1:23" hidden="1" x14ac:dyDescent="0.15">
      <c r="A127" t="s">
        <v>390</v>
      </c>
      <c r="B127">
        <v>12203884</v>
      </c>
      <c r="C127" t="s">
        <v>184</v>
      </c>
      <c r="D127" t="s">
        <v>23</v>
      </c>
      <c r="E127" t="s">
        <v>42</v>
      </c>
      <c r="F127" t="s">
        <v>43</v>
      </c>
      <c r="H127" t="s">
        <v>264</v>
      </c>
      <c r="I127" t="s">
        <v>34</v>
      </c>
      <c r="J127" t="s">
        <v>264</v>
      </c>
      <c r="P127" t="s">
        <v>37</v>
      </c>
      <c r="Q127" t="s">
        <v>38</v>
      </c>
      <c r="R127" t="s">
        <v>34</v>
      </c>
      <c r="S127" t="s">
        <v>391</v>
      </c>
      <c r="U127" t="s">
        <v>304</v>
      </c>
    </row>
    <row r="128" spans="1:23" hidden="1" x14ac:dyDescent="0.15">
      <c r="A128" t="s">
        <v>392</v>
      </c>
      <c r="B128">
        <v>11902241</v>
      </c>
      <c r="C128" t="s">
        <v>176</v>
      </c>
      <c r="D128" t="s">
        <v>23</v>
      </c>
      <c r="E128" t="s">
        <v>108</v>
      </c>
      <c r="F128" t="s">
        <v>177</v>
      </c>
      <c r="H128" t="s">
        <v>177</v>
      </c>
      <c r="I128" t="s">
        <v>178</v>
      </c>
      <c r="P128" t="s">
        <v>37</v>
      </c>
      <c r="Q128" t="s">
        <v>38</v>
      </c>
      <c r="R128" t="s">
        <v>178</v>
      </c>
      <c r="S128" t="s">
        <v>393</v>
      </c>
    </row>
    <row r="129" spans="1:23" x14ac:dyDescent="0.15">
      <c r="A129" t="s">
        <v>394</v>
      </c>
      <c r="B129">
        <v>22620710</v>
      </c>
      <c r="C129" t="s">
        <v>283</v>
      </c>
      <c r="D129" t="s">
        <v>23</v>
      </c>
      <c r="E129" t="s">
        <v>24</v>
      </c>
      <c r="I129" t="s">
        <v>25</v>
      </c>
      <c r="O129" t="s">
        <v>284</v>
      </c>
      <c r="P129" t="s">
        <v>37</v>
      </c>
      <c r="Q129" t="s">
        <v>124</v>
      </c>
      <c r="R129" t="s">
        <v>25</v>
      </c>
      <c r="S129" t="s">
        <v>68</v>
      </c>
      <c r="U129" t="s">
        <v>105</v>
      </c>
      <c r="V129" t="str">
        <f>_xlfn.XLOOKUP(A129,[1]花名册!$A:$A,[1]花名册!$E:$E)</f>
        <v>产研办公室</v>
      </c>
      <c r="W129">
        <f>_xlfn.XLOOKUP(A129,[1]花名册!$A:$A,[1]花名册!$F:$F)</f>
        <v>0</v>
      </c>
    </row>
    <row r="130" spans="1:23" hidden="1" x14ac:dyDescent="0.15">
      <c r="A130" t="s">
        <v>395</v>
      </c>
      <c r="B130">
        <v>12103017</v>
      </c>
      <c r="C130" t="s">
        <v>81</v>
      </c>
      <c r="D130" t="s">
        <v>23</v>
      </c>
      <c r="E130" t="s">
        <v>82</v>
      </c>
      <c r="F130" t="s">
        <v>83</v>
      </c>
      <c r="G130" t="s">
        <v>140</v>
      </c>
      <c r="H130" t="s">
        <v>83</v>
      </c>
      <c r="I130" t="s">
        <v>85</v>
      </c>
      <c r="P130" t="s">
        <v>37</v>
      </c>
      <c r="Q130" t="s">
        <v>38</v>
      </c>
      <c r="R130" t="s">
        <v>85</v>
      </c>
      <c r="S130" t="s">
        <v>396</v>
      </c>
      <c r="V130" t="str">
        <f>_xlfn.XLOOKUP(A130,[1]花名册!$A:$A,[1]花名册!$E:$E)</f>
        <v>研发治理部</v>
      </c>
      <c r="W130" t="str">
        <f>_xlfn.XLOOKUP(A130,[1]花名册!$A:$A,[1]花名册!$F:$F)</f>
        <v>测试部</v>
      </c>
    </row>
    <row r="131" spans="1:23" hidden="1" x14ac:dyDescent="0.15">
      <c r="A131" t="s">
        <v>397</v>
      </c>
      <c r="D131" t="s">
        <v>63</v>
      </c>
      <c r="E131" t="s">
        <v>523</v>
      </c>
      <c r="F131" t="s">
        <v>54</v>
      </c>
      <c r="H131" t="s">
        <v>54</v>
      </c>
      <c r="I131" t="s">
        <v>34</v>
      </c>
      <c r="J131" t="s">
        <v>65</v>
      </c>
      <c r="O131" t="s">
        <v>398</v>
      </c>
      <c r="P131" t="s">
        <v>67</v>
      </c>
      <c r="Q131" t="s">
        <v>64</v>
      </c>
      <c r="R131" t="s">
        <v>34</v>
      </c>
      <c r="S131" s="2">
        <v>45764</v>
      </c>
      <c r="V131" t="str">
        <f>_xlfn.XLOOKUP(A131,[1]花名册!$A:$A,[1]花名册!$E:$E)</f>
        <v>外包</v>
      </c>
      <c r="W131" t="str">
        <f>_xlfn.XLOOKUP(A131,[1]花名册!$A:$A,[1]花名册!$F:$F)</f>
        <v>外包</v>
      </c>
    </row>
    <row r="132" spans="1:23" hidden="1" x14ac:dyDescent="0.15">
      <c r="A132" t="s">
        <v>399</v>
      </c>
      <c r="B132">
        <v>12520899</v>
      </c>
      <c r="C132" t="s">
        <v>58</v>
      </c>
      <c r="D132" t="s">
        <v>23</v>
      </c>
      <c r="E132" t="s">
        <v>42</v>
      </c>
      <c r="F132" t="s">
        <v>354</v>
      </c>
      <c r="H132" t="s">
        <v>354</v>
      </c>
      <c r="I132" t="s">
        <v>60</v>
      </c>
      <c r="P132" t="s">
        <v>37</v>
      </c>
      <c r="Q132" t="s">
        <v>38</v>
      </c>
      <c r="R132" t="s">
        <v>60</v>
      </c>
      <c r="S132" t="s">
        <v>400</v>
      </c>
    </row>
    <row r="133" spans="1:23" hidden="1" x14ac:dyDescent="0.15">
      <c r="A133" t="s">
        <v>401</v>
      </c>
      <c r="D133" t="s">
        <v>23</v>
      </c>
      <c r="E133" t="s">
        <v>527</v>
      </c>
      <c r="F133" t="s">
        <v>59</v>
      </c>
      <c r="I133" t="s">
        <v>60</v>
      </c>
      <c r="P133" t="s">
        <v>402</v>
      </c>
      <c r="Q133" t="s">
        <v>124</v>
      </c>
      <c r="R133" t="s">
        <v>60</v>
      </c>
      <c r="S133" t="s">
        <v>403</v>
      </c>
      <c r="V133" t="e">
        <f>_xlfn.XLOOKUP(A133,[1]花名册!$A:$A,[1]花名册!$E:$E)</f>
        <v>#N/A</v>
      </c>
      <c r="W133" t="e">
        <f>_xlfn.XLOOKUP(A133,[1]花名册!$A:$A,[1]花名册!$F:$F)</f>
        <v>#N/A</v>
      </c>
    </row>
    <row r="134" spans="1:23" hidden="1" x14ac:dyDescent="0.15">
      <c r="A134" t="s">
        <v>404</v>
      </c>
      <c r="B134">
        <v>11301244</v>
      </c>
      <c r="C134" t="s">
        <v>405</v>
      </c>
      <c r="D134" t="s">
        <v>23</v>
      </c>
      <c r="E134" t="s">
        <v>53</v>
      </c>
      <c r="F134" t="s">
        <v>154</v>
      </c>
      <c r="H134" t="s">
        <v>154</v>
      </c>
      <c r="I134" t="s">
        <v>25</v>
      </c>
      <c r="P134" t="s">
        <v>37</v>
      </c>
      <c r="Q134" t="s">
        <v>38</v>
      </c>
      <c r="R134" t="s">
        <v>25</v>
      </c>
      <c r="S134" t="s">
        <v>406</v>
      </c>
    </row>
    <row r="135" spans="1:23" hidden="1" x14ac:dyDescent="0.15">
      <c r="A135" t="s">
        <v>407</v>
      </c>
      <c r="D135" t="s">
        <v>63</v>
      </c>
      <c r="E135" t="s">
        <v>523</v>
      </c>
      <c r="F135" t="s">
        <v>54</v>
      </c>
      <c r="H135" t="s">
        <v>54</v>
      </c>
      <c r="I135" t="s">
        <v>49</v>
      </c>
      <c r="J135" t="s">
        <v>65</v>
      </c>
      <c r="O135" t="s">
        <v>408</v>
      </c>
      <c r="P135" t="s">
        <v>67</v>
      </c>
      <c r="Q135" t="s">
        <v>64</v>
      </c>
      <c r="R135" t="s">
        <v>49</v>
      </c>
      <c r="S135" s="4">
        <v>45820</v>
      </c>
      <c r="V135" t="str">
        <f>_xlfn.XLOOKUP(A135,[1]花名册!$A:$A,[1]花名册!$E:$E)</f>
        <v>外包</v>
      </c>
      <c r="W135" t="str">
        <f>_xlfn.XLOOKUP(A135,[1]花名册!$A:$A,[1]花名册!$F:$F)</f>
        <v>外包</v>
      </c>
    </row>
    <row r="136" spans="1:23" hidden="1" x14ac:dyDescent="0.15">
      <c r="A136" t="s">
        <v>409</v>
      </c>
      <c r="B136">
        <v>12213814</v>
      </c>
      <c r="C136" t="s">
        <v>410</v>
      </c>
      <c r="D136" t="s">
        <v>23</v>
      </c>
      <c r="E136" t="s">
        <v>108</v>
      </c>
      <c r="F136" t="s">
        <v>109</v>
      </c>
      <c r="H136" t="s">
        <v>109</v>
      </c>
      <c r="I136" t="s">
        <v>34</v>
      </c>
      <c r="J136" t="s">
        <v>74</v>
      </c>
      <c r="K136" t="s">
        <v>75</v>
      </c>
      <c r="L136" t="s">
        <v>76</v>
      </c>
      <c r="M136" t="s">
        <v>77</v>
      </c>
      <c r="N136" t="s">
        <v>110</v>
      </c>
      <c r="P136" t="s">
        <v>37</v>
      </c>
      <c r="Q136" t="s">
        <v>38</v>
      </c>
      <c r="R136" t="s">
        <v>34</v>
      </c>
      <c r="S136" t="s">
        <v>327</v>
      </c>
    </row>
    <row r="137" spans="1:23" hidden="1" x14ac:dyDescent="0.15">
      <c r="A137" t="s">
        <v>411</v>
      </c>
      <c r="B137">
        <v>12003735</v>
      </c>
      <c r="C137" t="s">
        <v>41</v>
      </c>
      <c r="D137" t="s">
        <v>23</v>
      </c>
      <c r="E137" t="s">
        <v>82</v>
      </c>
      <c r="F137" t="s">
        <v>169</v>
      </c>
      <c r="H137" t="s">
        <v>169</v>
      </c>
      <c r="I137" t="s">
        <v>25</v>
      </c>
      <c r="P137" t="s">
        <v>37</v>
      </c>
      <c r="Q137" t="s">
        <v>38</v>
      </c>
      <c r="R137" t="s">
        <v>34</v>
      </c>
      <c r="S137" t="s">
        <v>412</v>
      </c>
      <c r="V137" t="str">
        <f>_xlfn.XLOOKUP(A137,[1]花名册!$A:$A,[1]花名册!$E:$E)</f>
        <v>研发治理部</v>
      </c>
      <c r="W137" t="str">
        <f>_xlfn.XLOOKUP(A137,[1]花名册!$A:$A,[1]花名册!$F:$F)</f>
        <v>配置管理组</v>
      </c>
    </row>
    <row r="138" spans="1:23" hidden="1" x14ac:dyDescent="0.15">
      <c r="A138" t="s">
        <v>413</v>
      </c>
      <c r="B138">
        <v>10600090</v>
      </c>
      <c r="C138" t="s">
        <v>414</v>
      </c>
      <c r="D138" t="s">
        <v>23</v>
      </c>
      <c r="E138" t="s">
        <v>82</v>
      </c>
      <c r="F138" t="s">
        <v>169</v>
      </c>
      <c r="H138" t="s">
        <v>169</v>
      </c>
      <c r="I138" t="s">
        <v>25</v>
      </c>
      <c r="P138" t="s">
        <v>37</v>
      </c>
      <c r="Q138" t="s">
        <v>38</v>
      </c>
      <c r="R138" t="s">
        <v>25</v>
      </c>
      <c r="S138" t="s">
        <v>415</v>
      </c>
      <c r="V138" t="str">
        <f>_xlfn.XLOOKUP(A138,[1]花名册!$A:$A,[1]花名册!$E:$E)</f>
        <v>研发治理部</v>
      </c>
      <c r="W138" t="str">
        <f>_xlfn.XLOOKUP(A138,[1]花名册!$A:$A,[1]花名册!$F:$F)</f>
        <v>配置管理组</v>
      </c>
    </row>
    <row r="139" spans="1:23" hidden="1" x14ac:dyDescent="0.15">
      <c r="A139" t="s">
        <v>416</v>
      </c>
      <c r="B139">
        <v>12320322</v>
      </c>
      <c r="C139" t="s">
        <v>99</v>
      </c>
      <c r="D139" t="s">
        <v>23</v>
      </c>
      <c r="E139" t="s">
        <v>108</v>
      </c>
      <c r="F139" t="s">
        <v>129</v>
      </c>
      <c r="H139" t="s">
        <v>129</v>
      </c>
      <c r="I139" t="s">
        <v>49</v>
      </c>
      <c r="P139" t="s">
        <v>37</v>
      </c>
      <c r="Q139" t="s">
        <v>38</v>
      </c>
      <c r="R139" t="s">
        <v>49</v>
      </c>
      <c r="S139" t="s">
        <v>292</v>
      </c>
    </row>
    <row r="140" spans="1:23" hidden="1" x14ac:dyDescent="0.15">
      <c r="A140" t="s">
        <v>417</v>
      </c>
      <c r="B140">
        <v>11800335</v>
      </c>
      <c r="C140" t="s">
        <v>30</v>
      </c>
      <c r="D140" t="s">
        <v>23</v>
      </c>
      <c r="E140" t="s">
        <v>31</v>
      </c>
      <c r="F140" t="s">
        <v>32</v>
      </c>
      <c r="H140" t="s">
        <v>100</v>
      </c>
      <c r="I140" t="s">
        <v>34</v>
      </c>
      <c r="J140" t="s">
        <v>74</v>
      </c>
      <c r="K140" t="s">
        <v>75</v>
      </c>
      <c r="L140" t="s">
        <v>76</v>
      </c>
      <c r="M140" t="s">
        <v>77</v>
      </c>
      <c r="P140" t="s">
        <v>37</v>
      </c>
      <c r="Q140" t="s">
        <v>38</v>
      </c>
      <c r="R140" t="s">
        <v>34</v>
      </c>
      <c r="S140" t="s">
        <v>418</v>
      </c>
    </row>
    <row r="141" spans="1:23" hidden="1" x14ac:dyDescent="0.15">
      <c r="A141" t="s">
        <v>419</v>
      </c>
      <c r="B141">
        <v>11901268</v>
      </c>
      <c r="C141" t="s">
        <v>107</v>
      </c>
      <c r="D141" t="s">
        <v>23</v>
      </c>
      <c r="E141" t="s">
        <v>53</v>
      </c>
      <c r="F141" t="s">
        <v>54</v>
      </c>
      <c r="H141" t="s">
        <v>54</v>
      </c>
      <c r="I141" t="s">
        <v>34</v>
      </c>
      <c r="J141" t="s">
        <v>65</v>
      </c>
      <c r="P141" t="s">
        <v>37</v>
      </c>
      <c r="Q141" t="s">
        <v>38</v>
      </c>
      <c r="R141" t="s">
        <v>34</v>
      </c>
      <c r="S141" t="s">
        <v>420</v>
      </c>
    </row>
    <row r="142" spans="1:23" hidden="1" x14ac:dyDescent="0.15">
      <c r="A142" t="s">
        <v>421</v>
      </c>
      <c r="B142">
        <v>11700733</v>
      </c>
      <c r="C142" t="s">
        <v>81</v>
      </c>
      <c r="D142" t="s">
        <v>23</v>
      </c>
      <c r="E142" t="s">
        <v>82</v>
      </c>
      <c r="F142" t="s">
        <v>83</v>
      </c>
      <c r="G142" t="s">
        <v>84</v>
      </c>
      <c r="H142" t="s">
        <v>83</v>
      </c>
      <c r="I142" t="s">
        <v>85</v>
      </c>
      <c r="P142" t="s">
        <v>37</v>
      </c>
      <c r="Q142" t="s">
        <v>38</v>
      </c>
      <c r="R142" t="s">
        <v>85</v>
      </c>
      <c r="S142" t="s">
        <v>422</v>
      </c>
      <c r="V142" t="str">
        <f>_xlfn.XLOOKUP(A142,[1]花名册!$A:$A,[1]花名册!$E:$E)</f>
        <v>研发治理部</v>
      </c>
      <c r="W142" t="str">
        <f>_xlfn.XLOOKUP(A142,[1]花名册!$A:$A,[1]花名册!$F:$F)</f>
        <v>测试部</v>
      </c>
    </row>
    <row r="143" spans="1:23" hidden="1" x14ac:dyDescent="0.15">
      <c r="A143" t="s">
        <v>423</v>
      </c>
      <c r="D143" t="s">
        <v>23</v>
      </c>
      <c r="E143" t="s">
        <v>108</v>
      </c>
      <c r="F143" t="s">
        <v>129</v>
      </c>
      <c r="H143" t="s">
        <v>424</v>
      </c>
      <c r="I143" t="s">
        <v>49</v>
      </c>
      <c r="O143" t="s">
        <v>425</v>
      </c>
      <c r="Q143" t="s">
        <v>426</v>
      </c>
      <c r="R143" t="s">
        <v>49</v>
      </c>
      <c r="S143" t="s">
        <v>427</v>
      </c>
      <c r="T143" t="s">
        <v>428</v>
      </c>
    </row>
    <row r="144" spans="1:23" x14ac:dyDescent="0.15">
      <c r="A144" t="s">
        <v>429</v>
      </c>
      <c r="D144" t="s">
        <v>23</v>
      </c>
      <c r="E144" t="s">
        <v>24</v>
      </c>
      <c r="I144" t="s">
        <v>25</v>
      </c>
      <c r="Q144" t="s">
        <v>26</v>
      </c>
      <c r="R144" t="s">
        <v>25</v>
      </c>
      <c r="S144" t="s">
        <v>430</v>
      </c>
      <c r="T144" t="s">
        <v>431</v>
      </c>
      <c r="V144" t="str">
        <f>_xlfn.XLOOKUP(A144,[1]花名册!$A:$A,[1]花名册!$E:$E)</f>
        <v>产研办公室</v>
      </c>
      <c r="W144">
        <f>_xlfn.XLOOKUP(A144,[1]花名册!$A:$A,[1]花名册!$F:$F)</f>
        <v>0</v>
      </c>
    </row>
    <row r="145" spans="1:23" hidden="1" x14ac:dyDescent="0.15">
      <c r="A145" t="s">
        <v>432</v>
      </c>
      <c r="B145">
        <v>11301219</v>
      </c>
      <c r="C145" t="s">
        <v>41</v>
      </c>
      <c r="D145" t="s">
        <v>23</v>
      </c>
      <c r="E145" t="s">
        <v>108</v>
      </c>
      <c r="F145" t="s">
        <v>109</v>
      </c>
      <c r="H145" t="s">
        <v>109</v>
      </c>
      <c r="I145" t="s">
        <v>34</v>
      </c>
      <c r="J145" t="s">
        <v>74</v>
      </c>
      <c r="K145" t="s">
        <v>75</v>
      </c>
      <c r="L145" t="s">
        <v>76</v>
      </c>
      <c r="M145" t="s">
        <v>77</v>
      </c>
      <c r="P145" t="s">
        <v>37</v>
      </c>
      <c r="Q145" t="s">
        <v>38</v>
      </c>
      <c r="R145" t="s">
        <v>34</v>
      </c>
      <c r="S145" t="s">
        <v>433</v>
      </c>
    </row>
    <row r="146" spans="1:23" hidden="1" x14ac:dyDescent="0.15">
      <c r="A146" t="s">
        <v>434</v>
      </c>
      <c r="B146">
        <v>11301177</v>
      </c>
      <c r="C146" t="s">
        <v>70</v>
      </c>
      <c r="D146" t="s">
        <v>23</v>
      </c>
      <c r="E146" t="s">
        <v>53</v>
      </c>
      <c r="F146" t="s">
        <v>118</v>
      </c>
      <c r="H146" t="s">
        <v>119</v>
      </c>
      <c r="I146" t="s">
        <v>120</v>
      </c>
      <c r="J146" t="s">
        <v>121</v>
      </c>
      <c r="P146" t="s">
        <v>37</v>
      </c>
      <c r="Q146" t="s">
        <v>38</v>
      </c>
      <c r="R146" t="s">
        <v>120</v>
      </c>
      <c r="S146" t="s">
        <v>435</v>
      </c>
    </row>
    <row r="147" spans="1:23" hidden="1" x14ac:dyDescent="0.15">
      <c r="A147" t="s">
        <v>436</v>
      </c>
      <c r="B147">
        <v>11901227</v>
      </c>
      <c r="C147" t="s">
        <v>70</v>
      </c>
      <c r="D147" t="s">
        <v>23</v>
      </c>
      <c r="E147" t="s">
        <v>108</v>
      </c>
      <c r="F147" t="s">
        <v>129</v>
      </c>
      <c r="H147" t="s">
        <v>129</v>
      </c>
      <c r="I147" t="s">
        <v>34</v>
      </c>
      <c r="J147" t="s">
        <v>342</v>
      </c>
      <c r="P147" t="s">
        <v>37</v>
      </c>
      <c r="Q147" t="s">
        <v>38</v>
      </c>
      <c r="R147" t="s">
        <v>34</v>
      </c>
      <c r="S147" t="s">
        <v>437</v>
      </c>
    </row>
    <row r="148" spans="1:23" hidden="1" x14ac:dyDescent="0.15">
      <c r="A148" t="s">
        <v>438</v>
      </c>
      <c r="D148" t="s">
        <v>63</v>
      </c>
      <c r="E148" t="s">
        <v>522</v>
      </c>
      <c r="F148" t="s">
        <v>43</v>
      </c>
      <c r="H148" t="s">
        <v>530</v>
      </c>
      <c r="I148" t="s">
        <v>34</v>
      </c>
      <c r="J148" t="s">
        <v>90</v>
      </c>
      <c r="O148" t="s">
        <v>252</v>
      </c>
      <c r="P148" t="s">
        <v>67</v>
      </c>
      <c r="Q148" t="s">
        <v>64</v>
      </c>
      <c r="R148" t="s">
        <v>34</v>
      </c>
      <c r="S148" s="4">
        <v>45946</v>
      </c>
      <c r="V148" t="str">
        <f>_xlfn.XLOOKUP(A148,[1]花名册!$A:$A,[1]花名册!$E:$E)</f>
        <v>外包</v>
      </c>
      <c r="W148" t="str">
        <f>_xlfn.XLOOKUP(A148,[1]花名册!$A:$A,[1]花名册!$F:$F)</f>
        <v>外包</v>
      </c>
    </row>
    <row r="149" spans="1:23" hidden="1" x14ac:dyDescent="0.15">
      <c r="A149" t="s">
        <v>439</v>
      </c>
      <c r="B149">
        <v>11401522</v>
      </c>
      <c r="C149" t="s">
        <v>159</v>
      </c>
      <c r="D149" t="s">
        <v>23</v>
      </c>
      <c r="E149" t="s">
        <v>31</v>
      </c>
      <c r="F149" t="s">
        <v>59</v>
      </c>
      <c r="H149" t="s">
        <v>59</v>
      </c>
      <c r="I149" t="s">
        <v>60</v>
      </c>
      <c r="P149" t="s">
        <v>37</v>
      </c>
      <c r="Q149" t="s">
        <v>38</v>
      </c>
      <c r="R149" t="s">
        <v>60</v>
      </c>
      <c r="S149" t="s">
        <v>440</v>
      </c>
    </row>
    <row r="150" spans="1:23" hidden="1" x14ac:dyDescent="0.15">
      <c r="A150" t="s">
        <v>441</v>
      </c>
      <c r="B150">
        <v>12003770</v>
      </c>
      <c r="C150" t="s">
        <v>176</v>
      </c>
      <c r="D150" t="s">
        <v>23</v>
      </c>
      <c r="E150" t="s">
        <v>31</v>
      </c>
      <c r="F150" t="s">
        <v>59</v>
      </c>
      <c r="H150" t="s">
        <v>59</v>
      </c>
      <c r="I150" t="s">
        <v>178</v>
      </c>
      <c r="P150" t="s">
        <v>37</v>
      </c>
      <c r="Q150" t="s">
        <v>38</v>
      </c>
      <c r="R150" t="s">
        <v>178</v>
      </c>
      <c r="S150" t="s">
        <v>259</v>
      </c>
    </row>
    <row r="151" spans="1:23" hidden="1" x14ac:dyDescent="0.15">
      <c r="A151" t="s">
        <v>442</v>
      </c>
      <c r="B151">
        <v>12102509</v>
      </c>
      <c r="C151" t="s">
        <v>163</v>
      </c>
      <c r="D151" t="s">
        <v>23</v>
      </c>
      <c r="E151" t="s">
        <v>53</v>
      </c>
      <c r="F151" t="s">
        <v>236</v>
      </c>
      <c r="H151" t="s">
        <v>236</v>
      </c>
      <c r="I151" t="s">
        <v>60</v>
      </c>
      <c r="P151" t="s">
        <v>37</v>
      </c>
      <c r="Q151" t="s">
        <v>38</v>
      </c>
      <c r="R151" t="s">
        <v>60</v>
      </c>
      <c r="S151" t="s">
        <v>443</v>
      </c>
    </row>
    <row r="152" spans="1:23" hidden="1" x14ac:dyDescent="0.15">
      <c r="A152" t="s">
        <v>444</v>
      </c>
      <c r="B152">
        <v>11801162</v>
      </c>
      <c r="C152" t="s">
        <v>445</v>
      </c>
      <c r="D152" t="s">
        <v>23</v>
      </c>
      <c r="E152" t="s">
        <v>108</v>
      </c>
      <c r="F152" t="s">
        <v>160</v>
      </c>
      <c r="H152" t="s">
        <v>160</v>
      </c>
      <c r="I152" t="s">
        <v>60</v>
      </c>
      <c r="P152" t="s">
        <v>37</v>
      </c>
      <c r="Q152" t="s">
        <v>38</v>
      </c>
      <c r="R152" t="s">
        <v>60</v>
      </c>
      <c r="S152" t="s">
        <v>446</v>
      </c>
    </row>
    <row r="153" spans="1:23" hidden="1" x14ac:dyDescent="0.15">
      <c r="A153" t="s">
        <v>447</v>
      </c>
      <c r="D153" t="s">
        <v>23</v>
      </c>
      <c r="E153" t="s">
        <v>522</v>
      </c>
      <c r="F153" t="s">
        <v>43</v>
      </c>
      <c r="I153" t="s">
        <v>34</v>
      </c>
      <c r="Q153" t="s">
        <v>26</v>
      </c>
      <c r="S153" t="s">
        <v>448</v>
      </c>
      <c r="T153" t="s">
        <v>449</v>
      </c>
    </row>
    <row r="154" spans="1:23" hidden="1" x14ac:dyDescent="0.15">
      <c r="A154" t="s">
        <v>450</v>
      </c>
      <c r="B154">
        <v>11902300</v>
      </c>
      <c r="C154" t="s">
        <v>107</v>
      </c>
      <c r="D154" t="s">
        <v>23</v>
      </c>
      <c r="E154" t="s">
        <v>82</v>
      </c>
      <c r="F154" t="s">
        <v>166</v>
      </c>
      <c r="H154" t="s">
        <v>166</v>
      </c>
      <c r="I154" t="s">
        <v>34</v>
      </c>
      <c r="J154" t="s">
        <v>367</v>
      </c>
      <c r="P154" t="s">
        <v>37</v>
      </c>
      <c r="Q154" t="s">
        <v>38</v>
      </c>
      <c r="R154" t="s">
        <v>34</v>
      </c>
      <c r="S154" t="s">
        <v>451</v>
      </c>
      <c r="V154" t="str">
        <f>_xlfn.XLOOKUP(A154,[1]花名册!$A:$A,[1]花名册!$E:$E)</f>
        <v>研发治理部</v>
      </c>
      <c r="W154" t="str">
        <f>_xlfn.XLOOKUP(A154,[1]花名册!$A:$A,[1]花名册!$F:$F)</f>
        <v>效能提升组</v>
      </c>
    </row>
    <row r="155" spans="1:23" hidden="1" x14ac:dyDescent="0.15">
      <c r="A155" t="s">
        <v>452</v>
      </c>
      <c r="B155">
        <v>11902153</v>
      </c>
      <c r="C155" t="s">
        <v>107</v>
      </c>
      <c r="D155" t="s">
        <v>23</v>
      </c>
      <c r="E155" t="s">
        <v>108</v>
      </c>
      <c r="F155" t="s">
        <v>129</v>
      </c>
      <c r="H155" t="s">
        <v>89</v>
      </c>
      <c r="I155" t="s">
        <v>34</v>
      </c>
      <c r="J155" t="s">
        <v>90</v>
      </c>
      <c r="P155" t="s">
        <v>37</v>
      </c>
      <c r="Q155" t="s">
        <v>38</v>
      </c>
      <c r="R155" t="s">
        <v>34</v>
      </c>
      <c r="S155" t="s">
        <v>116</v>
      </c>
    </row>
    <row r="156" spans="1:23" x14ac:dyDescent="0.15">
      <c r="A156" t="s">
        <v>453</v>
      </c>
      <c r="D156" t="s">
        <v>23</v>
      </c>
      <c r="E156" t="s">
        <v>521</v>
      </c>
      <c r="I156" t="s">
        <v>34</v>
      </c>
      <c r="O156" t="s">
        <v>454</v>
      </c>
      <c r="Q156" t="s">
        <v>26</v>
      </c>
      <c r="R156" t="s">
        <v>34</v>
      </c>
      <c r="S156" t="s">
        <v>455</v>
      </c>
      <c r="T156" t="s">
        <v>456</v>
      </c>
      <c r="V156" t="str">
        <f>_xlfn.XLOOKUP(A156,[1]花名册!$A:$A,[1]花名册!$E:$E)</f>
        <v>EKP18产品研发部</v>
      </c>
      <c r="W156">
        <f>_xlfn.XLOOKUP(A156,[1]花名册!$A:$A,[1]花名册!$F:$F)</f>
        <v>0</v>
      </c>
    </row>
    <row r="157" spans="1:23" hidden="1" x14ac:dyDescent="0.15">
      <c r="A157" t="s">
        <v>457</v>
      </c>
      <c r="B157">
        <v>11401527</v>
      </c>
      <c r="C157" t="s">
        <v>458</v>
      </c>
      <c r="D157" t="s">
        <v>23</v>
      </c>
      <c r="E157" t="s">
        <v>53</v>
      </c>
      <c r="F157" t="s">
        <v>236</v>
      </c>
      <c r="H157" t="s">
        <v>236</v>
      </c>
      <c r="I157" t="s">
        <v>60</v>
      </c>
      <c r="P157" t="s">
        <v>37</v>
      </c>
      <c r="Q157" t="s">
        <v>38</v>
      </c>
      <c r="R157" t="s">
        <v>60</v>
      </c>
      <c r="S157" t="s">
        <v>459</v>
      </c>
    </row>
    <row r="158" spans="1:23" x14ac:dyDescent="0.15">
      <c r="A158" t="s">
        <v>460</v>
      </c>
      <c r="B158">
        <v>12002555</v>
      </c>
      <c r="C158" t="s">
        <v>302</v>
      </c>
      <c r="D158" t="s">
        <v>23</v>
      </c>
      <c r="E158" t="s">
        <v>255</v>
      </c>
      <c r="H158" t="s">
        <v>264</v>
      </c>
      <c r="I158" t="s">
        <v>25</v>
      </c>
      <c r="P158" t="s">
        <v>37</v>
      </c>
      <c r="Q158" t="s">
        <v>38</v>
      </c>
      <c r="R158" t="s">
        <v>25</v>
      </c>
      <c r="S158" t="s">
        <v>461</v>
      </c>
    </row>
    <row r="159" spans="1:23" hidden="1" x14ac:dyDescent="0.15">
      <c r="A159" t="s">
        <v>462</v>
      </c>
      <c r="B159">
        <v>11901982</v>
      </c>
      <c r="C159" t="s">
        <v>70</v>
      </c>
      <c r="D159" t="s">
        <v>23</v>
      </c>
      <c r="E159" t="s">
        <v>108</v>
      </c>
      <c r="F159" t="s">
        <v>129</v>
      </c>
      <c r="H159" t="s">
        <v>129</v>
      </c>
      <c r="I159" t="s">
        <v>34</v>
      </c>
      <c r="J159" t="s">
        <v>342</v>
      </c>
      <c r="P159" t="s">
        <v>37</v>
      </c>
      <c r="Q159" t="s">
        <v>38</v>
      </c>
      <c r="R159" t="s">
        <v>34</v>
      </c>
      <c r="S159" t="s">
        <v>463</v>
      </c>
    </row>
    <row r="160" spans="1:23" hidden="1" x14ac:dyDescent="0.15">
      <c r="A160" t="s">
        <v>464</v>
      </c>
      <c r="B160">
        <v>12002553</v>
      </c>
      <c r="C160" t="s">
        <v>107</v>
      </c>
      <c r="D160" t="s">
        <v>23</v>
      </c>
      <c r="E160" t="s">
        <v>42</v>
      </c>
      <c r="F160" t="s">
        <v>43</v>
      </c>
      <c r="H160" t="s">
        <v>44</v>
      </c>
      <c r="I160" t="s">
        <v>34</v>
      </c>
      <c r="J160" t="s">
        <v>45</v>
      </c>
      <c r="P160" t="s">
        <v>37</v>
      </c>
      <c r="Q160" t="s">
        <v>38</v>
      </c>
      <c r="R160" t="s">
        <v>34</v>
      </c>
      <c r="S160" t="s">
        <v>461</v>
      </c>
    </row>
    <row r="161" spans="1:23" hidden="1" x14ac:dyDescent="0.15">
      <c r="A161" t="s">
        <v>465</v>
      </c>
      <c r="D161" t="s">
        <v>63</v>
      </c>
      <c r="E161" t="s">
        <v>528</v>
      </c>
      <c r="F161" t="s">
        <v>83</v>
      </c>
      <c r="H161" t="s">
        <v>83</v>
      </c>
      <c r="I161" t="s">
        <v>85</v>
      </c>
      <c r="O161" t="s">
        <v>466</v>
      </c>
      <c r="P161" t="s">
        <v>67</v>
      </c>
      <c r="Q161" t="s">
        <v>64</v>
      </c>
      <c r="R161" t="s">
        <v>85</v>
      </c>
      <c r="S161" t="s">
        <v>467</v>
      </c>
      <c r="V161" t="str">
        <f>_xlfn.XLOOKUP(A161,[1]花名册!$A:$A,[1]花名册!$E:$E)</f>
        <v>外包</v>
      </c>
      <c r="W161" t="str">
        <f>_xlfn.XLOOKUP(A161,[1]花名册!$A:$A,[1]花名册!$F:$F)</f>
        <v>外包</v>
      </c>
    </row>
    <row r="162" spans="1:23" hidden="1" x14ac:dyDescent="0.15">
      <c r="A162" t="s">
        <v>468</v>
      </c>
      <c r="B162">
        <v>12003972</v>
      </c>
      <c r="C162" t="s">
        <v>81</v>
      </c>
      <c r="D162" t="s">
        <v>23</v>
      </c>
      <c r="E162" t="s">
        <v>525</v>
      </c>
      <c r="F162" t="s">
        <v>524</v>
      </c>
      <c r="G162" t="s">
        <v>84</v>
      </c>
      <c r="H162" t="s">
        <v>83</v>
      </c>
      <c r="I162" t="s">
        <v>85</v>
      </c>
      <c r="P162" t="s">
        <v>37</v>
      </c>
      <c r="Q162" t="s">
        <v>38</v>
      </c>
      <c r="R162" t="s">
        <v>85</v>
      </c>
      <c r="S162" t="s">
        <v>469</v>
      </c>
      <c r="V162" t="str">
        <f>_xlfn.XLOOKUP(A162,[1]花名册!$A:$A,[1]花名册!$E:$E)</f>
        <v>研发治理部</v>
      </c>
      <c r="W162" t="str">
        <f>_xlfn.XLOOKUP(A162,[1]花名册!$A:$A,[1]花名册!$F:$F)</f>
        <v>测试部</v>
      </c>
    </row>
    <row r="163" spans="1:23" hidden="1" x14ac:dyDescent="0.15">
      <c r="A163" t="s">
        <v>470</v>
      </c>
      <c r="B163">
        <v>12003947</v>
      </c>
      <c r="C163" t="s">
        <v>70</v>
      </c>
      <c r="D163" t="s">
        <v>23</v>
      </c>
      <c r="E163" t="s">
        <v>108</v>
      </c>
      <c r="F163" t="s">
        <v>109</v>
      </c>
      <c r="H163" t="s">
        <v>109</v>
      </c>
      <c r="I163" t="s">
        <v>49</v>
      </c>
      <c r="J163" t="s">
        <v>74</v>
      </c>
      <c r="K163" t="s">
        <v>75</v>
      </c>
      <c r="L163" t="s">
        <v>76</v>
      </c>
      <c r="M163" t="s">
        <v>77</v>
      </c>
      <c r="P163" t="s">
        <v>37</v>
      </c>
      <c r="Q163" t="s">
        <v>38</v>
      </c>
      <c r="R163" t="s">
        <v>49</v>
      </c>
      <c r="S163" t="s">
        <v>471</v>
      </c>
    </row>
    <row r="164" spans="1:23" hidden="1" x14ac:dyDescent="0.15">
      <c r="A164" t="s">
        <v>472</v>
      </c>
      <c r="D164" t="s">
        <v>63</v>
      </c>
      <c r="E164" t="s">
        <v>523</v>
      </c>
      <c r="F164" t="s">
        <v>54</v>
      </c>
      <c r="H164" t="s">
        <v>54</v>
      </c>
      <c r="I164" t="s">
        <v>34</v>
      </c>
      <c r="J164" t="s">
        <v>65</v>
      </c>
      <c r="O164" t="s">
        <v>473</v>
      </c>
      <c r="P164" t="s">
        <v>67</v>
      </c>
      <c r="Q164" t="s">
        <v>64</v>
      </c>
      <c r="R164" t="s">
        <v>34</v>
      </c>
      <c r="S164" t="s">
        <v>474</v>
      </c>
      <c r="V164" t="e">
        <f>_xlfn.XLOOKUP(A164,[1]花名册!$A:$A,[1]花名册!$E:$E)</f>
        <v>#N/A</v>
      </c>
      <c r="W164" t="e">
        <f>_xlfn.XLOOKUP(A164,[1]花名册!$A:$A,[1]花名册!$F:$F)</f>
        <v>#N/A</v>
      </c>
    </row>
    <row r="165" spans="1:23" hidden="1" x14ac:dyDescent="0.15">
      <c r="A165" t="s">
        <v>475</v>
      </c>
      <c r="B165">
        <v>22620691</v>
      </c>
      <c r="C165" t="s">
        <v>212</v>
      </c>
      <c r="D165" t="s">
        <v>23</v>
      </c>
      <c r="E165" t="s">
        <v>82</v>
      </c>
      <c r="F165" t="s">
        <v>83</v>
      </c>
      <c r="G165" t="s">
        <v>140</v>
      </c>
      <c r="H165" t="s">
        <v>83</v>
      </c>
      <c r="I165" t="s">
        <v>85</v>
      </c>
      <c r="P165" t="s">
        <v>37</v>
      </c>
      <c r="Q165" t="s">
        <v>124</v>
      </c>
      <c r="R165" t="s">
        <v>85</v>
      </c>
      <c r="S165" t="s">
        <v>476</v>
      </c>
      <c r="V165" t="str">
        <f>_xlfn.XLOOKUP(A165,[1]花名册!$A:$A,[1]花名册!$E:$E)</f>
        <v>研发治理部</v>
      </c>
      <c r="W165" t="str">
        <f>_xlfn.XLOOKUP(A165,[1]花名册!$A:$A,[1]花名册!$F:$F)</f>
        <v>测试部</v>
      </c>
    </row>
    <row r="166" spans="1:23" hidden="1" x14ac:dyDescent="0.15">
      <c r="A166" t="s">
        <v>477</v>
      </c>
      <c r="D166" t="s">
        <v>23</v>
      </c>
      <c r="E166" t="s">
        <v>523</v>
      </c>
      <c r="F166" t="s">
        <v>534</v>
      </c>
      <c r="I166" t="s">
        <v>60</v>
      </c>
      <c r="O166" t="s">
        <v>454</v>
      </c>
      <c r="Q166" t="s">
        <v>26</v>
      </c>
      <c r="R166" t="s">
        <v>60</v>
      </c>
      <c r="S166" t="s">
        <v>137</v>
      </c>
      <c r="T166" t="s">
        <v>138</v>
      </c>
      <c r="V166" t="str">
        <f>_xlfn.XLOOKUP(A166,[1]花名册!$A:$A,[1]花名册!$E:$E)</f>
        <v>智能中台规划部</v>
      </c>
      <c r="W166">
        <f>_xlfn.XLOOKUP(A166,[1]花名册!$A:$A,[1]花名册!$F:$F)</f>
        <v>0</v>
      </c>
    </row>
    <row r="167" spans="1:23" hidden="1" x14ac:dyDescent="0.15">
      <c r="A167" t="s">
        <v>478</v>
      </c>
      <c r="B167">
        <v>11301232</v>
      </c>
      <c r="C167" t="s">
        <v>41</v>
      </c>
      <c r="D167" t="s">
        <v>23</v>
      </c>
      <c r="E167" t="s">
        <v>53</v>
      </c>
      <c r="F167" t="s">
        <v>118</v>
      </c>
      <c r="H167" t="s">
        <v>172</v>
      </c>
      <c r="I167" t="s">
        <v>49</v>
      </c>
      <c r="J167" t="s">
        <v>173</v>
      </c>
      <c r="P167" t="s">
        <v>37</v>
      </c>
      <c r="Q167" t="s">
        <v>38</v>
      </c>
      <c r="R167" t="s">
        <v>49</v>
      </c>
      <c r="S167" t="s">
        <v>164</v>
      </c>
    </row>
    <row r="168" spans="1:23" hidden="1" x14ac:dyDescent="0.15">
      <c r="A168" t="s">
        <v>479</v>
      </c>
      <c r="D168" t="s">
        <v>23</v>
      </c>
      <c r="E168" t="s">
        <v>522</v>
      </c>
      <c r="F168" t="s">
        <v>535</v>
      </c>
      <c r="I168" t="s">
        <v>34</v>
      </c>
      <c r="Q168" t="s">
        <v>26</v>
      </c>
      <c r="R168" t="s">
        <v>34</v>
      </c>
      <c r="S168" t="s">
        <v>480</v>
      </c>
      <c r="T168" t="s">
        <v>481</v>
      </c>
      <c r="V168" t="str">
        <f>_xlfn.XLOOKUP(A168,[1]花名册!$A:$A,[1]花名册!$E:$E)</f>
        <v>治理&amp;算法组</v>
      </c>
      <c r="W168">
        <f>_xlfn.XLOOKUP(A168,[1]花名册!$A:$A,[1]花名册!$F:$F)</f>
        <v>0</v>
      </c>
    </row>
    <row r="169" spans="1:23" hidden="1" x14ac:dyDescent="0.15">
      <c r="A169" t="s">
        <v>482</v>
      </c>
      <c r="B169">
        <v>11901945</v>
      </c>
      <c r="C169" t="s">
        <v>70</v>
      </c>
      <c r="D169" t="s">
        <v>23</v>
      </c>
      <c r="E169" t="s">
        <v>108</v>
      </c>
      <c r="F169" t="s">
        <v>109</v>
      </c>
      <c r="H169" t="s">
        <v>109</v>
      </c>
      <c r="I169" t="s">
        <v>34</v>
      </c>
      <c r="P169" t="s">
        <v>37</v>
      </c>
      <c r="Q169" t="s">
        <v>38</v>
      </c>
      <c r="R169" t="s">
        <v>34</v>
      </c>
      <c r="S169" t="s">
        <v>483</v>
      </c>
    </row>
    <row r="170" spans="1:23" hidden="1" x14ac:dyDescent="0.15">
      <c r="A170" t="s">
        <v>484</v>
      </c>
      <c r="B170">
        <v>12103439</v>
      </c>
      <c r="C170" t="s">
        <v>99</v>
      </c>
      <c r="D170" t="s">
        <v>23</v>
      </c>
      <c r="E170" t="s">
        <v>108</v>
      </c>
      <c r="F170" t="s">
        <v>109</v>
      </c>
      <c r="H170" t="s">
        <v>109</v>
      </c>
      <c r="I170" t="s">
        <v>49</v>
      </c>
      <c r="J170" t="s">
        <v>74</v>
      </c>
      <c r="K170" t="s">
        <v>75</v>
      </c>
      <c r="L170" t="s">
        <v>76</v>
      </c>
      <c r="M170" t="s">
        <v>77</v>
      </c>
      <c r="P170" t="s">
        <v>37</v>
      </c>
      <c r="Q170" t="s">
        <v>38</v>
      </c>
      <c r="R170" t="s">
        <v>49</v>
      </c>
      <c r="S170" t="s">
        <v>485</v>
      </c>
    </row>
    <row r="171" spans="1:23" hidden="1" x14ac:dyDescent="0.15">
      <c r="A171" t="s">
        <v>486</v>
      </c>
      <c r="B171">
        <v>11902106</v>
      </c>
      <c r="C171" t="s">
        <v>70</v>
      </c>
      <c r="D171" t="s">
        <v>23</v>
      </c>
      <c r="E171" t="s">
        <v>108</v>
      </c>
      <c r="F171" t="s">
        <v>109</v>
      </c>
      <c r="H171" t="s">
        <v>109</v>
      </c>
      <c r="I171" t="s">
        <v>34</v>
      </c>
      <c r="J171" t="s">
        <v>74</v>
      </c>
      <c r="K171" t="s">
        <v>75</v>
      </c>
      <c r="L171" t="s">
        <v>76</v>
      </c>
      <c r="M171" t="s">
        <v>77</v>
      </c>
      <c r="P171" t="s">
        <v>37</v>
      </c>
      <c r="Q171" t="s">
        <v>38</v>
      </c>
      <c r="R171" t="s">
        <v>34</v>
      </c>
      <c r="S171" t="s">
        <v>116</v>
      </c>
    </row>
    <row r="172" spans="1:23" x14ac:dyDescent="0.15">
      <c r="A172" t="s">
        <v>487</v>
      </c>
      <c r="D172" t="s">
        <v>23</v>
      </c>
      <c r="E172" t="s">
        <v>528</v>
      </c>
      <c r="Q172" t="s">
        <v>26</v>
      </c>
      <c r="S172" t="s">
        <v>488</v>
      </c>
      <c r="T172" t="s">
        <v>489</v>
      </c>
      <c r="U172" t="s">
        <v>304</v>
      </c>
      <c r="V172" t="e">
        <f>_xlfn.XLOOKUP(A172,[1]花名册!$A:$A,[1]花名册!$E:$E)</f>
        <v>#N/A</v>
      </c>
      <c r="W172" t="e">
        <f>_xlfn.XLOOKUP(A172,[1]花名册!$A:$A,[1]花名册!$F:$F)</f>
        <v>#N/A</v>
      </c>
    </row>
    <row r="173" spans="1:23" hidden="1" x14ac:dyDescent="0.15">
      <c r="A173" t="s">
        <v>490</v>
      </c>
      <c r="B173">
        <v>12002568</v>
      </c>
      <c r="C173" t="s">
        <v>70</v>
      </c>
      <c r="D173" t="s">
        <v>23</v>
      </c>
      <c r="E173" t="s">
        <v>108</v>
      </c>
      <c r="F173" t="s">
        <v>129</v>
      </c>
      <c r="H173" t="s">
        <v>129</v>
      </c>
      <c r="I173" t="s">
        <v>34</v>
      </c>
      <c r="P173" t="s">
        <v>37</v>
      </c>
      <c r="Q173" t="s">
        <v>38</v>
      </c>
      <c r="R173" t="s">
        <v>34</v>
      </c>
      <c r="S173" t="s">
        <v>491</v>
      </c>
    </row>
    <row r="174" spans="1:23" x14ac:dyDescent="0.15">
      <c r="A174" t="s">
        <v>492</v>
      </c>
      <c r="B174">
        <v>11800343</v>
      </c>
      <c r="C174" t="s">
        <v>30</v>
      </c>
      <c r="D174" t="s">
        <v>23</v>
      </c>
      <c r="E174" t="s">
        <v>53</v>
      </c>
      <c r="H174" t="s">
        <v>54</v>
      </c>
      <c r="I174" t="s">
        <v>34</v>
      </c>
      <c r="O174" t="s">
        <v>493</v>
      </c>
      <c r="P174" t="s">
        <v>37</v>
      </c>
      <c r="Q174" t="s">
        <v>38</v>
      </c>
      <c r="R174" t="s">
        <v>34</v>
      </c>
      <c r="S174" t="s">
        <v>494</v>
      </c>
    </row>
    <row r="175" spans="1:23" hidden="1" x14ac:dyDescent="0.15">
      <c r="A175" t="s">
        <v>495</v>
      </c>
      <c r="B175">
        <v>12002565</v>
      </c>
      <c r="C175" t="s">
        <v>30</v>
      </c>
      <c r="D175" t="s">
        <v>23</v>
      </c>
      <c r="E175" t="s">
        <v>31</v>
      </c>
      <c r="F175" t="s">
        <v>48</v>
      </c>
      <c r="H175" t="s">
        <v>48</v>
      </c>
      <c r="I175" t="s">
        <v>34</v>
      </c>
      <c r="J175" t="s">
        <v>50</v>
      </c>
      <c r="O175" t="s">
        <v>496</v>
      </c>
      <c r="P175" t="s">
        <v>37</v>
      </c>
      <c r="Q175" t="s">
        <v>38</v>
      </c>
      <c r="R175" t="s">
        <v>34</v>
      </c>
      <c r="S175" t="s">
        <v>491</v>
      </c>
    </row>
    <row r="176" spans="1:23" hidden="1" x14ac:dyDescent="0.15">
      <c r="A176" t="s">
        <v>497</v>
      </c>
      <c r="B176">
        <v>12003783</v>
      </c>
      <c r="C176" t="s">
        <v>81</v>
      </c>
      <c r="D176" t="s">
        <v>23</v>
      </c>
      <c r="E176" t="s">
        <v>82</v>
      </c>
      <c r="F176" t="s">
        <v>317</v>
      </c>
      <c r="H176" t="s">
        <v>317</v>
      </c>
      <c r="I176" t="s">
        <v>85</v>
      </c>
      <c r="P176" t="s">
        <v>37</v>
      </c>
      <c r="Q176" t="s">
        <v>38</v>
      </c>
      <c r="R176" t="s">
        <v>85</v>
      </c>
      <c r="S176" t="s">
        <v>259</v>
      </c>
      <c r="V176" t="str">
        <f>_xlfn.XLOOKUP(A176,[1]花名册!$A:$A,[1]花名册!$E:$E)</f>
        <v>研发治理部</v>
      </c>
      <c r="W176" t="str">
        <f>_xlfn.XLOOKUP(A176,[1]花名册!$A:$A,[1]花名册!$F:$F)</f>
        <v>三快支持组</v>
      </c>
    </row>
    <row r="177" spans="1:23" hidden="1" x14ac:dyDescent="0.15">
      <c r="A177" t="s">
        <v>498</v>
      </c>
      <c r="B177">
        <v>12102524</v>
      </c>
      <c r="C177" t="s">
        <v>187</v>
      </c>
      <c r="D177" t="s">
        <v>23</v>
      </c>
      <c r="E177" t="s">
        <v>108</v>
      </c>
      <c r="F177" t="s">
        <v>177</v>
      </c>
      <c r="H177" t="s">
        <v>177</v>
      </c>
      <c r="I177" t="s">
        <v>178</v>
      </c>
      <c r="P177" t="s">
        <v>37</v>
      </c>
      <c r="Q177" t="s">
        <v>38</v>
      </c>
      <c r="R177" t="s">
        <v>178</v>
      </c>
      <c r="S177" t="s">
        <v>499</v>
      </c>
    </row>
    <row r="178" spans="1:23" hidden="1" x14ac:dyDescent="0.15">
      <c r="A178" t="s">
        <v>500</v>
      </c>
      <c r="B178">
        <v>12003932</v>
      </c>
      <c r="C178" t="s">
        <v>70</v>
      </c>
      <c r="D178" t="s">
        <v>23</v>
      </c>
      <c r="E178" t="s">
        <v>108</v>
      </c>
      <c r="F178" t="s">
        <v>109</v>
      </c>
      <c r="H178" t="s">
        <v>109</v>
      </c>
      <c r="I178" t="s">
        <v>49</v>
      </c>
      <c r="J178" t="s">
        <v>74</v>
      </c>
      <c r="K178" t="s">
        <v>75</v>
      </c>
      <c r="L178" t="s">
        <v>76</v>
      </c>
      <c r="M178" t="s">
        <v>77</v>
      </c>
      <c r="P178" t="s">
        <v>37</v>
      </c>
      <c r="Q178" t="s">
        <v>38</v>
      </c>
      <c r="R178" t="s">
        <v>49</v>
      </c>
      <c r="S178" t="s">
        <v>501</v>
      </c>
    </row>
    <row r="179" spans="1:23" hidden="1" x14ac:dyDescent="0.15">
      <c r="A179" t="s">
        <v>502</v>
      </c>
      <c r="B179">
        <v>11100755</v>
      </c>
      <c r="C179" t="s">
        <v>366</v>
      </c>
      <c r="D179" t="s">
        <v>23</v>
      </c>
      <c r="E179" t="s">
        <v>82</v>
      </c>
      <c r="F179" t="s">
        <v>83</v>
      </c>
      <c r="H179" t="s">
        <v>83</v>
      </c>
      <c r="I179" t="s">
        <v>85</v>
      </c>
      <c r="P179" t="s">
        <v>37</v>
      </c>
      <c r="Q179" t="s">
        <v>38</v>
      </c>
      <c r="R179" t="s">
        <v>85</v>
      </c>
      <c r="S179" t="s">
        <v>503</v>
      </c>
      <c r="V179" t="str">
        <f>_xlfn.XLOOKUP(A179,[1]花名册!$A:$A,[1]花名册!$E:$E)</f>
        <v>研发治理部</v>
      </c>
      <c r="W179" t="str">
        <f>_xlfn.XLOOKUP(A179,[1]花名册!$A:$A,[1]花名册!$F:$F)</f>
        <v>测试部</v>
      </c>
    </row>
    <row r="180" spans="1:23" hidden="1" x14ac:dyDescent="0.15">
      <c r="A180" t="s">
        <v>504</v>
      </c>
      <c r="B180">
        <v>12003927</v>
      </c>
      <c r="C180" t="s">
        <v>41</v>
      </c>
      <c r="D180" t="s">
        <v>23</v>
      </c>
      <c r="E180" t="s">
        <v>31</v>
      </c>
      <c r="F180" t="s">
        <v>73</v>
      </c>
      <c r="H180" t="s">
        <v>73</v>
      </c>
      <c r="I180" t="s">
        <v>49</v>
      </c>
      <c r="J180" t="s">
        <v>74</v>
      </c>
      <c r="K180" t="s">
        <v>75</v>
      </c>
      <c r="L180" t="s">
        <v>76</v>
      </c>
      <c r="M180" t="s">
        <v>77</v>
      </c>
      <c r="N180" t="s">
        <v>78</v>
      </c>
      <c r="P180" t="s">
        <v>37</v>
      </c>
      <c r="Q180" t="s">
        <v>38</v>
      </c>
      <c r="R180" t="s">
        <v>49</v>
      </c>
      <c r="S180" t="s">
        <v>505</v>
      </c>
    </row>
    <row r="181" spans="1:23" hidden="1" x14ac:dyDescent="0.15">
      <c r="A181" t="s">
        <v>506</v>
      </c>
      <c r="D181" t="s">
        <v>63</v>
      </c>
      <c r="E181" t="s">
        <v>525</v>
      </c>
      <c r="F181" t="s">
        <v>166</v>
      </c>
      <c r="H181" t="s">
        <v>166</v>
      </c>
      <c r="I181" t="s">
        <v>85</v>
      </c>
      <c r="J181" t="s">
        <v>367</v>
      </c>
      <c r="O181" t="s">
        <v>507</v>
      </c>
      <c r="P181" t="s">
        <v>67</v>
      </c>
      <c r="Q181" t="s">
        <v>64</v>
      </c>
      <c r="R181" t="s">
        <v>85</v>
      </c>
      <c r="S181" t="s">
        <v>474</v>
      </c>
      <c r="V181" t="str">
        <f>_xlfn.XLOOKUP(A181,[1]花名册!$A:$A,[1]花名册!$E:$E)</f>
        <v>外包</v>
      </c>
      <c r="W181" t="str">
        <f>_xlfn.XLOOKUP(A181,[1]花名册!$A:$A,[1]花名册!$F:$F)</f>
        <v>外包</v>
      </c>
    </row>
    <row r="182" spans="1:23" hidden="1" x14ac:dyDescent="0.15">
      <c r="A182" t="s">
        <v>508</v>
      </c>
      <c r="B182">
        <v>11100885</v>
      </c>
      <c r="C182" t="s">
        <v>184</v>
      </c>
      <c r="D182" t="s">
        <v>23</v>
      </c>
      <c r="E182" t="s">
        <v>31</v>
      </c>
      <c r="F182" t="s">
        <v>48</v>
      </c>
      <c r="H182" t="s">
        <v>48</v>
      </c>
      <c r="I182" t="s">
        <v>34</v>
      </c>
      <c r="J182" t="s">
        <v>50</v>
      </c>
      <c r="P182" t="s">
        <v>37</v>
      </c>
      <c r="Q182" t="s">
        <v>38</v>
      </c>
      <c r="R182" t="s">
        <v>34</v>
      </c>
      <c r="S182" t="s">
        <v>509</v>
      </c>
    </row>
    <row r="183" spans="1:23" hidden="1" x14ac:dyDescent="0.15">
      <c r="A183" t="s">
        <v>510</v>
      </c>
      <c r="D183" t="s">
        <v>23</v>
      </c>
      <c r="I183" t="s">
        <v>103</v>
      </c>
      <c r="P183" t="s">
        <v>37</v>
      </c>
      <c r="Q183" t="s">
        <v>38</v>
      </c>
      <c r="R183" t="s">
        <v>103</v>
      </c>
      <c r="S183" t="s">
        <v>511</v>
      </c>
      <c r="U183" t="s">
        <v>105</v>
      </c>
      <c r="V183" t="e">
        <f>_xlfn.XLOOKUP(A183,[1]花名册!$A:$A,[1]花名册!$E:$E)</f>
        <v>#N/A</v>
      </c>
      <c r="W183" t="e">
        <f>_xlfn.XLOOKUP(A183,[1]花名册!$A:$A,[1]花名册!$F:$F)</f>
        <v>#N/A</v>
      </c>
    </row>
    <row r="184" spans="1:23" x14ac:dyDescent="0.15">
      <c r="A184" t="s">
        <v>512</v>
      </c>
      <c r="D184" t="s">
        <v>23</v>
      </c>
      <c r="E184" t="s">
        <v>24</v>
      </c>
      <c r="I184" t="s">
        <v>103</v>
      </c>
      <c r="P184" t="s">
        <v>37</v>
      </c>
      <c r="Q184" t="s">
        <v>38</v>
      </c>
      <c r="R184" t="s">
        <v>103</v>
      </c>
      <c r="S184" t="s">
        <v>513</v>
      </c>
      <c r="U184" t="s">
        <v>105</v>
      </c>
      <c r="V184" t="e">
        <f>_xlfn.XLOOKUP(A184,[1]花名册!$A:$A,[1]花名册!$E:$E)</f>
        <v>#N/A</v>
      </c>
      <c r="W184" t="e">
        <f>_xlfn.XLOOKUP(A184,[1]花名册!$A:$A,[1]花名册!$F:$F)</f>
        <v>#N/A</v>
      </c>
    </row>
    <row r="185" spans="1:23" hidden="1" x14ac:dyDescent="0.15">
      <c r="A185" t="s">
        <v>514</v>
      </c>
      <c r="B185">
        <v>11000585</v>
      </c>
      <c r="C185" t="s">
        <v>254</v>
      </c>
      <c r="D185" t="s">
        <v>23</v>
      </c>
      <c r="E185" t="s">
        <v>108</v>
      </c>
      <c r="F185" t="s">
        <v>109</v>
      </c>
      <c r="H185" t="s">
        <v>109</v>
      </c>
      <c r="I185" t="s">
        <v>34</v>
      </c>
      <c r="J185" t="s">
        <v>74</v>
      </c>
      <c r="K185" t="s">
        <v>75</v>
      </c>
      <c r="L185" t="s">
        <v>76</v>
      </c>
      <c r="M185" t="s">
        <v>77</v>
      </c>
      <c r="N185" t="s">
        <v>110</v>
      </c>
      <c r="P185" t="s">
        <v>37</v>
      </c>
      <c r="Q185" t="s">
        <v>38</v>
      </c>
      <c r="R185" t="s">
        <v>34</v>
      </c>
      <c r="S185" t="s">
        <v>515</v>
      </c>
    </row>
    <row r="186" spans="1:23" hidden="1" x14ac:dyDescent="0.15">
      <c r="A186" t="s">
        <v>516</v>
      </c>
      <c r="C186" t="s">
        <v>64</v>
      </c>
      <c r="D186" t="s">
        <v>63</v>
      </c>
      <c r="E186" t="s">
        <v>31</v>
      </c>
      <c r="F186" t="s">
        <v>32</v>
      </c>
      <c r="H186" t="s">
        <v>48</v>
      </c>
      <c r="I186" t="s">
        <v>49</v>
      </c>
      <c r="P186" t="s">
        <v>67</v>
      </c>
      <c r="Q186" t="s">
        <v>64</v>
      </c>
      <c r="R186" t="s">
        <v>49</v>
      </c>
      <c r="S186" t="s">
        <v>97</v>
      </c>
      <c r="V186" t="str">
        <f>_xlfn.XLOOKUP(A186,[1]花名册!$A:$A,[1]花名册!$E:$E)</f>
        <v>华南开发一组</v>
      </c>
      <c r="W186">
        <f>_xlfn.XLOOKUP(A186,[1]花名册!$A:$A,[1]花名册!$F:$F)</f>
        <v>0</v>
      </c>
    </row>
    <row r="187" spans="1:23" hidden="1" x14ac:dyDescent="0.15">
      <c r="A187" t="s">
        <v>517</v>
      </c>
      <c r="B187">
        <v>12002569</v>
      </c>
      <c r="C187" t="s">
        <v>70</v>
      </c>
      <c r="D187" t="s">
        <v>23</v>
      </c>
      <c r="E187" t="s">
        <v>31</v>
      </c>
      <c r="F187" t="s">
        <v>32</v>
      </c>
      <c r="H187" t="s">
        <v>100</v>
      </c>
      <c r="I187" t="s">
        <v>34</v>
      </c>
      <c r="J187" t="s">
        <v>74</v>
      </c>
      <c r="K187" t="s">
        <v>75</v>
      </c>
      <c r="L187" t="s">
        <v>76</v>
      </c>
      <c r="M187" t="s">
        <v>77</v>
      </c>
      <c r="P187" t="s">
        <v>37</v>
      </c>
      <c r="Q187" t="s">
        <v>38</v>
      </c>
      <c r="R187" t="s">
        <v>34</v>
      </c>
      <c r="S187" t="s">
        <v>491</v>
      </c>
    </row>
    <row r="188" spans="1:23" hidden="1" x14ac:dyDescent="0.15">
      <c r="A188" t="s">
        <v>518</v>
      </c>
      <c r="B188">
        <v>12003773</v>
      </c>
      <c r="C188" t="s">
        <v>70</v>
      </c>
      <c r="D188" t="s">
        <v>23</v>
      </c>
      <c r="E188" t="s">
        <v>31</v>
      </c>
      <c r="F188" t="s">
        <v>73</v>
      </c>
      <c r="H188" t="s">
        <v>73</v>
      </c>
      <c r="I188" t="s">
        <v>34</v>
      </c>
      <c r="J188" t="s">
        <v>74</v>
      </c>
      <c r="K188" t="s">
        <v>75</v>
      </c>
      <c r="L188" t="s">
        <v>76</v>
      </c>
      <c r="M188" t="s">
        <v>77</v>
      </c>
      <c r="N188" t="s">
        <v>78</v>
      </c>
      <c r="P188" t="s">
        <v>37</v>
      </c>
      <c r="Q188" t="s">
        <v>38</v>
      </c>
      <c r="R188" t="s">
        <v>34</v>
      </c>
      <c r="S188" t="s">
        <v>259</v>
      </c>
    </row>
    <row r="189" spans="1:23" hidden="1" x14ac:dyDescent="0.15">
      <c r="A189" t="s">
        <v>519</v>
      </c>
      <c r="D189" t="s">
        <v>23</v>
      </c>
      <c r="E189" t="s">
        <v>31</v>
      </c>
      <c r="F189" t="s">
        <v>73</v>
      </c>
      <c r="H189" t="s">
        <v>73</v>
      </c>
      <c r="I189" t="s">
        <v>49</v>
      </c>
      <c r="O189" t="s">
        <v>454</v>
      </c>
      <c r="Q189" t="s">
        <v>26</v>
      </c>
      <c r="R189" t="s">
        <v>49</v>
      </c>
      <c r="S189" t="s">
        <v>221</v>
      </c>
      <c r="T189" t="s">
        <v>520</v>
      </c>
    </row>
    <row r="190" spans="1:23" hidden="1" x14ac:dyDescent="0.15">
      <c r="A190" t="s">
        <v>537</v>
      </c>
      <c r="D190" t="s">
        <v>63</v>
      </c>
      <c r="E190" t="s">
        <v>31</v>
      </c>
      <c r="F190" t="s">
        <v>32</v>
      </c>
      <c r="H190" t="s">
        <v>48</v>
      </c>
      <c r="I190" t="s">
        <v>34</v>
      </c>
      <c r="Q190" t="s">
        <v>64</v>
      </c>
      <c r="R190" t="s">
        <v>34</v>
      </c>
      <c r="S190" s="6">
        <v>46164</v>
      </c>
      <c r="T190" s="3">
        <v>46175</v>
      </c>
    </row>
    <row r="191" spans="1:23" ht="14.25" hidden="1" x14ac:dyDescent="0.2">
      <c r="A191" s="7" t="s">
        <v>538</v>
      </c>
      <c r="D191" t="s">
        <v>539</v>
      </c>
      <c r="E191" t="s">
        <v>31</v>
      </c>
      <c r="F191" t="s">
        <v>32</v>
      </c>
      <c r="H191" t="s">
        <v>48</v>
      </c>
      <c r="I191" t="s">
        <v>34</v>
      </c>
      <c r="Q191" t="s">
        <v>64</v>
      </c>
      <c r="R191" t="s">
        <v>34</v>
      </c>
      <c r="S191" s="8">
        <v>46175</v>
      </c>
    </row>
    <row r="192" spans="1:23" hidden="1" x14ac:dyDescent="0.15">
      <c r="A192" s="5" t="s">
        <v>540</v>
      </c>
      <c r="D192" t="s">
        <v>63</v>
      </c>
      <c r="E192" t="s">
        <v>521</v>
      </c>
      <c r="F192" t="s">
        <v>129</v>
      </c>
      <c r="I192" t="s">
        <v>49</v>
      </c>
      <c r="Q192" t="s">
        <v>64</v>
      </c>
      <c r="R192" t="s">
        <v>49</v>
      </c>
      <c r="S192" s="9">
        <v>45796</v>
      </c>
      <c r="T192" s="10">
        <v>46081</v>
      </c>
    </row>
    <row r="193" spans="1:20" hidden="1" x14ac:dyDescent="0.15">
      <c r="A193" s="5" t="s">
        <v>541</v>
      </c>
      <c r="D193" t="s">
        <v>539</v>
      </c>
      <c r="E193" t="s">
        <v>31</v>
      </c>
      <c r="F193" t="s">
        <v>32</v>
      </c>
      <c r="I193" t="s">
        <v>49</v>
      </c>
      <c r="Q193" t="s">
        <v>64</v>
      </c>
      <c r="R193" t="s">
        <v>49</v>
      </c>
      <c r="S193" s="9">
        <v>45783</v>
      </c>
      <c r="T193" s="10">
        <v>46081</v>
      </c>
    </row>
    <row r="194" spans="1:20" hidden="1" x14ac:dyDescent="0.15">
      <c r="A194" s="5" t="s">
        <v>542</v>
      </c>
      <c r="D194" t="s">
        <v>539</v>
      </c>
      <c r="E194" t="s">
        <v>31</v>
      </c>
      <c r="F194" t="s">
        <v>544</v>
      </c>
      <c r="I194" t="s">
        <v>178</v>
      </c>
      <c r="Q194" t="s">
        <v>64</v>
      </c>
      <c r="R194" t="s">
        <v>178</v>
      </c>
      <c r="S194" s="2">
        <v>46023</v>
      </c>
      <c r="T194" s="10">
        <v>46081</v>
      </c>
    </row>
    <row r="195" spans="1:20" hidden="1" x14ac:dyDescent="0.15">
      <c r="A195" s="11" t="s">
        <v>543</v>
      </c>
      <c r="D195" t="s">
        <v>539</v>
      </c>
      <c r="E195" t="s">
        <v>31</v>
      </c>
      <c r="F195" t="s">
        <v>48</v>
      </c>
      <c r="H195" t="s">
        <v>48</v>
      </c>
      <c r="I195" t="s">
        <v>34</v>
      </c>
      <c r="Q195" t="s">
        <v>64</v>
      </c>
      <c r="R195" t="s">
        <v>34</v>
      </c>
      <c r="S195" s="8">
        <v>46174</v>
      </c>
      <c r="T195" s="8">
        <v>46185</v>
      </c>
    </row>
  </sheetData>
  <autoFilter ref="A1:U195" xr:uid="{00000000-0001-0000-0000-000000000000}">
    <filterColumn colId="4">
      <customFilters>
        <customFilter operator="notEqual" val=" "/>
      </customFilters>
    </filterColumn>
    <filterColumn colId="5">
      <filters blank="1"/>
    </filterColumn>
  </autoFilter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完整花名册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慧珍 张</cp:lastModifiedBy>
  <dcterms:created xsi:type="dcterms:W3CDTF">2026-07-13T13:38:12Z</dcterms:created>
  <dcterms:modified xsi:type="dcterms:W3CDTF">2026-07-16T06:58:08Z</dcterms:modified>
</cp:coreProperties>
</file>